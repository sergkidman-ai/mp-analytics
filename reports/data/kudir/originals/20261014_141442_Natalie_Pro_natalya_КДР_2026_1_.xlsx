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8fa746c6494d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3b120979c54afca445578d1a65bf4b.psmdcp" Id="Rd99493971cf547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Титульный лист" sheetId="1" r:id="rId2"/>
    <x:sheet name="Доходы и расходы за 1 квартал" sheetId="2" r:id="rId3"/>
    <x:sheet name="Доходы и расходы за 2 квартал" sheetId="3" r:id="rId4"/>
    <x:sheet name="Доходы и расходы за 3 квартал" sheetId="4" r:id="rId5"/>
    <x:sheet name="Доходы и расходы за 4 квартал" sheetId="5" r:id="rId6"/>
    <x:sheet name="Расчет расходов на приобретение" sheetId="6" r:id="rId7"/>
    <x:sheet name="Расчет суммы убытка" sheetId="7" r:id="rId8"/>
    <x:sheet name="Сумма торгового сбора" sheetId="8" r:id="rId9"/>
  </x:sheets>
  <x:definedNames>
    <x:definedName name="_xlnm.Print_Area" localSheetId="0">'Титульный лист'!$B$1:$AC$1048576</x:definedName>
    <x:definedName name="_xlnm.Print_Area" localSheetId="1">'Доходы и расходы за 1 квартал'!$B$1:$F$1048576</x:definedName>
    <x:definedName name="_xlnm.Print_Area" localSheetId="2">'Доходы и расходы за 2 квартал'!$B$1:$F$1048576</x:definedName>
    <x:definedName name="_xlnm.Print_Area" localSheetId="3">'Доходы и расходы за 3 квартал'!$B$1:$F$1048576</x:definedName>
    <x:definedName name="_xlnm.Print_Area" localSheetId="4">'Доходы и расходы за 4 квартал'!$B$1:$F$1048576</x:definedName>
    <x:definedName name="_xlnm.Print_Area" localSheetId="5">'Расчет расходов на приобретение'!$B$1:$Q$1048576</x:definedName>
    <x:definedName name="_xlnm.Print_Area" localSheetId="6">'Расчет суммы убытка'!$B$1:$J$1048576</x:definedName>
    <x:definedName name="_xlnm.Print_Area" localSheetId="7">'Сумма торгового сбора'!$B$1:$E$1048576</x:definedName>
  </x:definedNames>
  <x:calcPr calcId="125725"/>
</x:workbook>
</file>

<file path=xl/calcChain.xml><?xml version="1.0" encoding="utf-8"?>
<x:calcChain xmlns:x="http://schemas.openxmlformats.org/spreadsheetml/2006/main">
  <x:c r="Y1" i="2"/>
  <x:c r="AA1" i="2"/>
  <x:c r="AB1" i="2"/>
  <x:c r="Z2" i="2"/>
  <x:c r="B7" i="2"/>
  <x:c r="B8" i="2"/>
  <x:c r="B9" i="2"/>
  <x:c r="B10" i="2"/>
  <x:c r="B11" i="2"/>
  <x:c r="B12" i="2"/>
  <x:c r="B13" i="2"/>
  <x:c r="B14" i="2"/>
  <x:c r="B15" i="2"/>
  <x:c r="B16" i="2"/>
  <x:c r="B17" i="2"/>
  <x:c r="B18" i="2"/>
  <x:c r="B19" i="2"/>
  <x:c r="B20" i="2"/>
  <x:c r="B21" i="2"/>
  <x:c r="B22" i="2"/>
  <x:c r="B23" i="2"/>
  <x:c r="B24" i="2"/>
  <x:c r="B25" i="2"/>
  <x:c r="B26" i="2"/>
  <x:c r="B27" i="2"/>
  <x:c r="B28" i="2"/>
  <x:c r="B29" i="2"/>
  <x:c r="B30" i="2"/>
  <x:c r="B31" i="2"/>
  <x:c r="B32" i="2"/>
  <x:c r="B33" i="2"/>
  <x:c r="B34" i="2"/>
  <x:c r="B35" i="2"/>
  <x:c r="B36" i="2"/>
  <x:c r="B37" i="2"/>
  <x:c r="B38" i="2"/>
  <x:c r="B39" i="2"/>
  <x:c r="B40" i="2"/>
  <x:c r="B41" i="2"/>
  <x:c r="B42" i="2"/>
  <x:c r="B43" i="2"/>
  <x:c r="B44" i="2"/>
  <x:c r="B45" i="2"/>
  <x:c r="B46" i="2"/>
  <x:c r="B47" i="2"/>
  <x:c r="B48" i="2"/>
  <x:c r="B49" i="2"/>
  <x:c r="B50" i="2"/>
  <x:c r="B51" i="2"/>
  <x:c r="B52" i="2"/>
  <x:c r="B53" i="2"/>
  <x:c r="B54" i="2"/>
  <x:c r="B55" i="2"/>
  <x:c r="B56" i="2"/>
  <x:c r="B57" i="2"/>
  <x:c r="B58" i="2"/>
  <x:c r="B59" i="2"/>
  <x:c r="B60" i="2"/>
  <x:c r="B61" i="2"/>
  <x:c r="B62" i="2"/>
  <x:c r="B63" i="2"/>
  <x:c r="B64" i="2"/>
  <x:c r="B65" i="2"/>
  <x:c r="B66" i="2"/>
  <x:c r="B67" i="2"/>
  <x:c r="B68" i="2"/>
  <x:c r="B69" i="2"/>
  <x:c r="B70" i="2"/>
  <x:c r="B71" i="2"/>
  <x:c r="B72" i="2"/>
  <x:c r="B73" i="2"/>
  <x:c r="B74" i="2"/>
  <x:c r="B75" i="2"/>
  <x:c r="B76" i="2"/>
  <x:c r="B77" i="2"/>
  <x:c r="B78" i="2"/>
  <x:c r="B79" i="2"/>
  <x:c r="B80" i="2"/>
  <x:c r="B81" i="2"/>
  <x:c r="B82" i="2"/>
  <x:c r="B83" i="2"/>
  <x:c r="B84" i="2"/>
  <x:c r="B85" i="2"/>
  <x:c r="B86" i="2"/>
  <x:c r="B87" i="2"/>
  <x:c r="B88" i="2"/>
  <x:c r="B89" i="2"/>
  <x:c r="B90" i="2"/>
  <x:c r="B91" i="2"/>
  <x:c r="B92" i="2"/>
  <x:c r="B93" i="2"/>
  <x:c r="B94" i="2"/>
  <x:c r="B95" i="2"/>
  <x:c r="B96" i="2"/>
  <x:c r="B97" i="2"/>
  <x:c r="B98" i="2"/>
  <x:c r="B99" i="2"/>
  <x:c r="B100" i="2"/>
  <x:c r="B101" i="2"/>
  <x:c r="B102" i="2"/>
  <x:c r="B103" i="2"/>
  <x:c r="B104" i="2"/>
  <x:c r="B105" i="2"/>
  <x:c r="B106" i="2"/>
  <x:c r="B107" i="2"/>
  <x:c r="B108" i="2"/>
  <x:c r="B109" i="2"/>
  <x:c r="B110" i="2"/>
  <x:c r="B111" i="2"/>
  <x:c r="B112" i="2"/>
  <x:c r="B113" i="2"/>
  <x:c r="B114" i="2"/>
  <x:c r="B115" i="2"/>
  <x:c r="B116" i="2"/>
  <x:c r="B117" i="2"/>
  <x:c r="B118" i="2"/>
  <x:c r="B119" i="2"/>
  <x:c r="B120" i="2"/>
  <x:c r="B121" i="2"/>
  <x:c r="B122" i="2"/>
  <x:c r="B123" i="2"/>
  <x:c r="B124" i="2"/>
  <x:c r="B125" i="2"/>
  <x:c r="B126" i="2"/>
  <x:c r="B127" i="2"/>
  <x:c r="B128" i="2"/>
  <x:c r="B129" i="2"/>
  <x:c r="B130" i="2"/>
  <x:c r="B131" i="2"/>
  <x:c r="B132" i="2"/>
  <x:c r="B133" i="2"/>
  <x:c r="B134" i="2"/>
  <x:c r="B135" i="2"/>
  <x:c r="B136" i="2"/>
  <x:c r="B137" i="2"/>
  <x:c r="B138" i="2"/>
  <x:c r="B139" i="2"/>
  <x:c r="B140" i="2"/>
  <x:c r="B141" i="2"/>
  <x:c r="B142" i="2"/>
  <x:c r="B143" i="2"/>
  <x:c r="B144" i="2"/>
  <x:c r="B145" i="2"/>
  <x:c r="B146" i="2"/>
  <x:c r="B147" i="2"/>
  <x:c r="B148" i="2"/>
  <x:c r="B149" i="2"/>
  <x:c r="B150" i="2"/>
  <x:c r="B151" i="2"/>
  <x:c r="B152" i="2"/>
  <x:c r="B153" i="2"/>
  <x:c r="B154" i="2"/>
  <x:c r="B155" i="2"/>
  <x:c r="B156" i="2"/>
  <x:c r="B157" i="2"/>
  <x:c r="B158" i="2"/>
  <x:c r="B159" i="2"/>
  <x:c r="B160" i="2"/>
  <x:c r="B161" i="2"/>
  <x:c r="B162" i="2"/>
  <x:c r="B163" i="2"/>
  <x:c r="B164" i="2"/>
  <x:c r="B165" i="2"/>
  <x:c r="B166" i="2"/>
  <x:c r="B167" i="2"/>
  <x:c r="B168" i="2"/>
  <x:c r="B169" i="2"/>
  <x:c r="B170" i="2"/>
  <x:c r="B171" i="2"/>
  <x:c r="B172" i="2"/>
  <x:c r="B173" i="2"/>
  <x:c r="B174" i="2"/>
  <x:c r="B175" i="2"/>
  <x:c r="B176" i="2"/>
  <x:c r="B177" i="2"/>
  <x:c r="B178" i="2"/>
  <x:c r="B179" i="2"/>
  <x:c r="E180" i="2"/>
  <x:c r="F180" i="2"/>
  <x:c r="Y1" i="3"/>
  <x:c r="Z1" i="3"/>
  <x:c r="AA1" i="3"/>
  <x:c r="AB1" i="3"/>
  <x:c r="Z2" i="3"/>
  <x:c r="AA2" i="3"/>
  <x:c r="AB2" i="3"/>
  <x:c r="B7" i="3"/>
  <x:c r="B8" i="3"/>
  <x:c r="B9" i="3"/>
  <x:c r="B10" i="3"/>
  <x:c r="B11" i="3"/>
  <x:c r="B12" i="3"/>
  <x:c r="B13" i="3"/>
  <x:c r="B14" i="3"/>
  <x:c r="B15" i="3"/>
  <x:c r="B16" i="3"/>
  <x:c r="B17" i="3"/>
  <x:c r="B18" i="3"/>
  <x:c r="B19" i="3"/>
  <x:c r="B20" i="3"/>
  <x:c r="B21" i="3"/>
  <x:c r="B22" i="3"/>
  <x:c r="B23" i="3"/>
  <x:c r="B24" i="3"/>
  <x:c r="B25" i="3"/>
  <x:c r="B26" i="3"/>
  <x:c r="B27" i="3"/>
  <x:c r="B28" i="3"/>
  <x:c r="B29" i="3"/>
  <x:c r="B30" i="3"/>
  <x:c r="B31" i="3"/>
  <x:c r="B32" i="3"/>
  <x:c r="B33" i="3"/>
  <x:c r="B34" i="3"/>
  <x:c r="B35" i="3"/>
  <x:c r="B36" i="3"/>
  <x:c r="B37" i="3"/>
  <x:c r="B38" i="3"/>
  <x:c r="B39" i="3"/>
  <x:c r="B40" i="3"/>
  <x:c r="B41" i="3"/>
  <x:c r="B42" i="3"/>
  <x:c r="B43" i="3"/>
  <x:c r="B44" i="3"/>
  <x:c r="B45" i="3"/>
  <x:c r="B46" i="3"/>
  <x:c r="B47" i="3"/>
  <x:c r="B48" i="3"/>
  <x:c r="B49" i="3"/>
  <x:c r="B50" i="3"/>
  <x:c r="B51" i="3"/>
  <x:c r="B52" i="3"/>
  <x:c r="B53" i="3"/>
  <x:c r="B54" i="3"/>
  <x:c r="B55" i="3"/>
  <x:c r="B56" i="3"/>
  <x:c r="B57" i="3"/>
  <x:c r="B58" i="3"/>
  <x:c r="B59" i="3"/>
  <x:c r="B60" i="3"/>
  <x:c r="B61" i="3"/>
  <x:c r="B62" i="3"/>
  <x:c r="B63" i="3"/>
  <x:c r="B64" i="3"/>
  <x:c r="B65" i="3"/>
  <x:c r="B66" i="3"/>
  <x:c r="B67" i="3"/>
  <x:c r="B68" i="3"/>
  <x:c r="B69" i="3"/>
  <x:c r="B70" i="3"/>
  <x:c r="B71" i="3"/>
  <x:c r="B72" i="3"/>
  <x:c r="B73" i="3"/>
  <x:c r="B74" i="3"/>
  <x:c r="B75" i="3"/>
  <x:c r="B76" i="3"/>
  <x:c r="B77" i="3"/>
  <x:c r="B78" i="3"/>
  <x:c r="B79" i="3"/>
  <x:c r="B80" i="3"/>
  <x:c r="B81" i="3"/>
  <x:c r="B82" i="3"/>
  <x:c r="B83" i="3"/>
  <x:c r="B84" i="3"/>
  <x:c r="B85" i="3"/>
  <x:c r="B86" i="3"/>
  <x:c r="B87" i="3"/>
  <x:c r="B88" i="3"/>
  <x:c r="B89" i="3"/>
  <x:c r="B90" i="3"/>
  <x:c r="B91" i="3"/>
  <x:c r="B92" i="3"/>
  <x:c r="B93" i="3"/>
  <x:c r="B94" i="3"/>
  <x:c r="B95" i="3"/>
  <x:c r="B96" i="3"/>
  <x:c r="B97" i="3"/>
  <x:c r="B98" i="3"/>
  <x:c r="B99" i="3"/>
  <x:c r="B100" i="3"/>
  <x:c r="B101" i="3"/>
  <x:c r="B102" i="3"/>
  <x:c r="B103" i="3"/>
  <x:c r="B104" i="3"/>
  <x:c r="B105" i="3"/>
  <x:c r="B106" i="3"/>
  <x:c r="B107" i="3"/>
  <x:c r="B108" i="3"/>
  <x:c r="B109" i="3"/>
  <x:c r="B110" i="3"/>
  <x:c r="B111" i="3"/>
  <x:c r="B112" i="3"/>
  <x:c r="B113" i="3"/>
  <x:c r="B114" i="3"/>
  <x:c r="B115" i="3"/>
  <x:c r="B116" i="3"/>
  <x:c r="B117" i="3"/>
  <x:c r="B118" i="3"/>
  <x:c r="B119" i="3"/>
  <x:c r="B120" i="3"/>
  <x:c r="B121" i="3"/>
  <x:c r="B122" i="3"/>
  <x:c r="B123" i="3"/>
  <x:c r="B124" i="3"/>
  <x:c r="B125" i="3"/>
  <x:c r="B126" i="3"/>
  <x:c r="B127" i="3"/>
  <x:c r="B128" i="3"/>
  <x:c r="B129" i="3"/>
  <x:c r="B130" i="3"/>
  <x:c r="E131" i="3"/>
  <x:c r="F131" i="3"/>
  <x:c r="E132" i="3"/>
  <x:c r="F132" i="3"/>
  <x:c r="Y1" i="4"/>
  <x:c r="Z1" i="4"/>
  <x:c r="AA1" i="4"/>
  <x:c r="AB1" i="4"/>
  <x:c r="Z2" i="4"/>
  <x:c r="AA2" i="4"/>
  <x:c r="AB2" i="4"/>
  <x:c r="B7" i="4"/>
  <x:c r="B8" i="4"/>
  <x:c r="B9" i="4"/>
  <x:c r="B10" i="4"/>
  <x:c r="B11" i="4"/>
  <x:c r="B12" i="4"/>
  <x:c r="B13" i="4"/>
  <x:c r="B14" i="4"/>
  <x:c r="B15" i="4"/>
  <x:c r="B16" i="4"/>
  <x:c r="B17" i="4"/>
  <x:c r="B18" i="4"/>
  <x:c r="B19" i="4"/>
  <x:c r="B20" i="4"/>
  <x:c r="B21" i="4"/>
  <x:c r="B22" i="4"/>
  <x:c r="B23" i="4"/>
  <x:c r="B24" i="4"/>
  <x:c r="B25" i="4"/>
  <x:c r="B26" i="4"/>
  <x:c r="B27" i="4"/>
  <x:c r="B28" i="4"/>
  <x:c r="B29" i="4"/>
  <x:c r="B30" i="4"/>
  <x:c r="B31" i="4"/>
  <x:c r="B32" i="4"/>
  <x:c r="B33" i="4"/>
  <x:c r="B34" i="4"/>
  <x:c r="B35" i="4"/>
  <x:c r="B36" i="4"/>
  <x:c r="B37" i="4"/>
  <x:c r="B38" i="4"/>
  <x:c r="B39" i="4"/>
  <x:c r="B40" i="4"/>
  <x:c r="B41" i="4"/>
  <x:c r="B42" i="4"/>
  <x:c r="B43" i="4"/>
  <x:c r="B44" i="4"/>
  <x:c r="B45" i="4"/>
  <x:c r="B46" i="4"/>
  <x:c r="B47" i="4"/>
  <x:c r="B48" i="4"/>
  <x:c r="B49" i="4"/>
  <x:c r="B50" i="4"/>
  <x:c r="B51" i="4"/>
  <x:c r="B52" i="4"/>
  <x:c r="B53" i="4"/>
  <x:c r="B54" i="4"/>
  <x:c r="B55" i="4"/>
  <x:c r="B56" i="4"/>
  <x:c r="B57" i="4"/>
  <x:c r="B58" i="4"/>
  <x:c r="B59" i="4"/>
  <x:c r="B60" i="4"/>
  <x:c r="B61" i="4"/>
  <x:c r="B62" i="4"/>
  <x:c r="B63" i="4"/>
  <x:c r="B64" i="4"/>
  <x:c r="B65" i="4"/>
  <x:c r="B66" i="4"/>
  <x:c r="B67" i="4"/>
  <x:c r="B68" i="4"/>
  <x:c r="B69" i="4"/>
  <x:c r="B70" i="4"/>
  <x:c r="B71" i="4"/>
  <x:c r="B72" i="4"/>
  <x:c r="B73" i="4"/>
  <x:c r="B74" i="4"/>
  <x:c r="B75" i="4"/>
  <x:c r="B76" i="4"/>
  <x:c r="B77" i="4"/>
  <x:c r="B78" i="4"/>
  <x:c r="B79" i="4"/>
  <x:c r="B80" i="4"/>
  <x:c r="B81" i="4"/>
  <x:c r="B82" i="4"/>
  <x:c r="B83" i="4"/>
  <x:c r="B84" i="4"/>
  <x:c r="B85" i="4"/>
  <x:c r="B86" i="4"/>
  <x:c r="B87" i="4"/>
  <x:c r="B88" i="4"/>
  <x:c r="B89" i="4"/>
  <x:c r="B90" i="4"/>
  <x:c r="B91" i="4"/>
  <x:c r="B92" i="4"/>
  <x:c r="B93" i="4"/>
  <x:c r="B94" i="4"/>
  <x:c r="B95" i="4"/>
  <x:c r="B96" i="4"/>
  <x:c r="B97" i="4"/>
  <x:c r="B98" i="4"/>
  <x:c r="B99" i="4"/>
  <x:c r="B100" i="4"/>
  <x:c r="B101" i="4"/>
  <x:c r="B102" i="4"/>
  <x:c r="B103" i="4"/>
  <x:c r="B104" i="4"/>
  <x:c r="B105" i="4"/>
  <x:c r="B106" i="4"/>
  <x:c r="B107" i="4"/>
  <x:c r="B108" i="4"/>
  <x:c r="B109" i="4"/>
  <x:c r="B110" i="4"/>
  <x:c r="B111" i="4"/>
  <x:c r="B112" i="4"/>
  <x:c r="B113" i="4"/>
  <x:c r="B114" i="4"/>
  <x:c r="B115" i="4"/>
  <x:c r="B116" i="4"/>
  <x:c r="B117" i="4"/>
  <x:c r="B118" i="4"/>
  <x:c r="B119" i="4"/>
  <x:c r="B120" i="4"/>
  <x:c r="B121" i="4"/>
  <x:c r="B122" i="4"/>
  <x:c r="B123" i="4"/>
  <x:c r="B124" i="4"/>
  <x:c r="B125" i="4"/>
  <x:c r="B126" i="4"/>
  <x:c r="B127" i="4"/>
  <x:c r="B128" i="4"/>
  <x:c r="B129" i="4"/>
  <x:c r="B130" i="4"/>
  <x:c r="B131" i="4"/>
  <x:c r="B132" i="4"/>
  <x:c r="B133" i="4"/>
  <x:c r="B134" i="4"/>
  <x:c r="B135" i="4"/>
  <x:c r="B136" i="4"/>
  <x:c r="B137" i="4"/>
  <x:c r="B138" i="4"/>
  <x:c r="B139" i="4"/>
  <x:c r="B140" i="4"/>
  <x:c r="B141" i="4"/>
  <x:c r="B142" i="4"/>
  <x:c r="B143" i="4"/>
  <x:c r="B144" i="4"/>
  <x:c r="B145" i="4"/>
  <x:c r="B146" i="4"/>
  <x:c r="B147" i="4"/>
  <x:c r="B148" i="4"/>
  <x:c r="B149" i="4"/>
  <x:c r="B150" i="4"/>
  <x:c r="B151" i="4"/>
  <x:c r="B152" i="4"/>
  <x:c r="B153" i="4"/>
  <x:c r="B154" i="4"/>
  <x:c r="B155" i="4"/>
  <x:c r="B156" i="4"/>
  <x:c r="B157" i="4"/>
  <x:c r="B158" i="4"/>
  <x:c r="B159" i="4"/>
  <x:c r="B160" i="4"/>
  <x:c r="B161" i="4"/>
  <x:c r="B162" i="4"/>
  <x:c r="B163" i="4"/>
  <x:c r="B164" i="4"/>
  <x:c r="B165" i="4"/>
  <x:c r="B166" i="4"/>
  <x:c r="B167" i="4"/>
  <x:c r="B168" i="4"/>
  <x:c r="B169" i="4"/>
  <x:c r="B170" i="4"/>
  <x:c r="B171" i="4"/>
  <x:c r="B172" i="4"/>
  <x:c r="B173" i="4"/>
  <x:c r="B174" i="4"/>
  <x:c r="B175" i="4"/>
  <x:c r="B176" i="4"/>
  <x:c r="B177" i="4"/>
  <x:c r="B178" i="4"/>
  <x:c r="B179" i="4"/>
  <x:c r="B180" i="4"/>
  <x:c r="B181" i="4"/>
  <x:c r="B182" i="4"/>
  <x:c r="B183" i="4"/>
  <x:c r="B184" i="4"/>
  <x:c r="B185" i="4"/>
  <x:c r="B186" i="4"/>
  <x:c r="B187" i="4"/>
  <x:c r="B188" i="4"/>
  <x:c r="B189" i="4"/>
  <x:c r="B190" i="4"/>
  <x:c r="B191" i="4"/>
  <x:c r="B192" i="4"/>
  <x:c r="B193" i="4"/>
  <x:c r="B194" i="4"/>
  <x:c r="B195" i="4"/>
  <x:c r="B196" i="4"/>
  <x:c r="B197" i="4"/>
  <x:c r="B198" i="4"/>
  <x:c r="B199" i="4"/>
  <x:c r="B200" i="4"/>
  <x:c r="B201" i="4"/>
  <x:c r="B202" i="4"/>
  <x:c r="B203" i="4"/>
  <x:c r="B204" i="4"/>
  <x:c r="B205" i="4"/>
  <x:c r="B206" i="4"/>
  <x:c r="B207" i="4"/>
  <x:c r="B208" i="4"/>
  <x:c r="B209" i="4"/>
  <x:c r="B210" i="4"/>
  <x:c r="B211" i="4"/>
  <x:c r="B212" i="4"/>
  <x:c r="B213" i="4"/>
  <x:c r="B214" i="4"/>
  <x:c r="B215" i="4"/>
  <x:c r="B216" i="4"/>
  <x:c r="B217" i="4"/>
  <x:c r="B218" i="4"/>
  <x:c r="B219" i="4"/>
  <x:c r="B220" i="4"/>
  <x:c r="B221" i="4"/>
  <x:c r="B222" i="4"/>
  <x:c r="B223" i="4"/>
  <x:c r="B224" i="4"/>
  <x:c r="B225" i="4"/>
  <x:c r="B226" i="4"/>
  <x:c r="B227" i="4"/>
  <x:c r="E228" i="4"/>
  <x:c r="F228" i="4"/>
  <x:c r="E229" i="4"/>
  <x:c r="F229" i="4"/>
  <x:c r="AA1" i="5"/>
  <x:c r="AB1" i="5"/>
  <x:c r="AA2" i="5"/>
  <x:c r="AB2" i="5"/>
  <x:c r="AA3" i="5"/>
  <x:c r="AA4" i="5"/>
  <x:c r="AB4" i="5"/>
  <x:c r="B7" i="5"/>
  <x:c r="B8" i="5"/>
  <x:c r="B9" i="5"/>
  <x:c r="B10" i="5"/>
  <x:c r="B11" i="5"/>
  <x:c r="B12" i="5"/>
  <x:c r="B13" i="5"/>
  <x:c r="B14" i="5"/>
  <x:c r="B15" i="5"/>
  <x:c r="B16" i="5"/>
  <x:c r="B17" i="5"/>
  <x:c r="B18" i="5"/>
  <x:c r="B19" i="5"/>
  <x:c r="B20" i="5"/>
  <x:c r="B21" i="5"/>
  <x:c r="B22" i="5"/>
  <x:c r="B23" i="5"/>
  <x:c r="B24" i="5"/>
  <x:c r="B25" i="5"/>
  <x:c r="B26" i="5"/>
  <x:c r="B27" i="5"/>
  <x:c r="B28" i="5"/>
  <x:c r="B29" i="5"/>
  <x:c r="B30" i="5"/>
  <x:c r="B31" i="5"/>
  <x:c r="B32" i="5"/>
  <x:c r="B33" i="5"/>
  <x:c r="B34" i="5"/>
  <x:c r="E35" i="5"/>
  <x:c r="F35" i="5"/>
  <x:c r="E36" i="5"/>
  <x:c r="F36" i="5"/>
  <x:c r="F40" i="5"/>
  <x:c r="F41" i="5"/>
  <x:c r="F48" i="5"/>
  <x:c r="F50" i="5"/>
  <x:c r="Y1" i="7"/>
  <x:c r="J27" i="7"/>
  <x:c r="J29" i="7"/>
  <x:c r="J30" i="7"/>
  <x:c r="J32" i="7"/>
  <x:c r="AA1" i="8"/>
  <x:c r="AB1" i="8"/>
  <x:c r="AC1" i="8"/>
  <x:c r="AD1" i="8"/>
  <x:c r="AE1" i="8"/>
  <x:c r="AF1" i="8"/>
  <x:c r="AG1" i="8"/>
  <x:c r="E6" i="8"/>
  <x:c r="E8" i="8"/>
  <x:c r="E9" i="8"/>
  <x:c r="E11" i="8"/>
  <x:c r="E12" i="8"/>
  <x:c r="E14" i="8"/>
  <x:c r="E15" i="8"/>
</x:calcChain>
</file>

<file path=xl/sharedStrings.xml><?xml version="1.0" encoding="utf-8"?>
<x:sst xmlns:x="http://schemas.openxmlformats.org/spreadsheetml/2006/main">
  <x:si>
    <x:t>Приложение №2 к Приказу ФНС
России от 07.11.2023 №ЕА-7-3/816@</x:t>
  </x:si>
  <x:si>
    <x:t>КНИГА
  учета доходов и расходов организаций и индивидуальных предпринимателей,
  применяющих упрощенную систему налогообложения</x:t>
  </x:si>
  <x:si>
    <x:t>Коды</x:t>
  </x:si>
  <x:si>
    <x:t xml:space="preserve">Форма по ОКУД  </x:t>
  </x:si>
  <x:si>
    <x:t>на 20</x:t>
  </x:si>
  <x:si>
    <x:t>26</x:t>
  </x:si>
  <x:si>
    <x:t>год</x:t>
  </x:si>
  <x:si>
    <x:t xml:space="preserve">Дата (год, месяц, число)  </x:t>
  </x:si>
  <x:si>
    <x:t>2026</x:t>
  </x:si>
  <x:si>
    <x:t>1</x:t>
  </x:si>
  <x:si>
    <x:t>56384521</x:t>
  </x:si>
  <x:si>
    <x:t>Налогоплательщик (наименование организации/фамилия, имя, отчество индивидуального предпринимателя)</x:t>
  </x:si>
  <x:si>
    <x:t>ООО "ДИСКВЭР"</x:t>
  </x:si>
  <x:si>
    <x:t xml:space="preserve">по ОКПО  </x:t>
  </x:si>
  <x:si>
    <x:t>ИНН/КПП (для налогоплательщика - организации)</x:t>
  </x:si>
  <x:si>
    <x:t xml:space="preserve"> </x:t>
  </x:si>
  <x:si>
    <x:t>7</x:t>
  </x:si>
  <x:si>
    <x:t>8</x:t>
  </x:si>
  <x:si>
    <x:t>0</x:t>
  </x:si>
  <x:si>
    <x:t>3</x:t>
  </x:si>
  <x:si>
    <x:t>9</x:t>
  </x:si>
  <x:si>
    <x:t>/</x:t>
  </x:si>
  <x:si>
    <x:t>ИНН (для налогоплательщика - индивидуального предпринимателя)</x:t>
  </x:si>
  <x:si>
    <x:t>Объект налогообложения</x:t>
  </x:si>
  <x:si>
    <x:t>доходы, уменьшенные на величину расходов</x:t>
  </x:si>
  <x:si>
    <x:t>(наименование выбранного объекта налогообложения</x:t>
  </x:si>
  <x:si>
    <x:t>в соответствии со статьей 346.14 Налогового кодекса Российской Федерации)</x:t>
  </x:si>
  <x:si>
    <x:t>Номера расчетных и иных счетов, открытых в учреждениях банков</x:t>
  </x:si>
  <x:si>
    <x:t>40702810355000147717 в СЕВЕРО-ЗАПАДНЫЙ БАНК ПАО СБЕРБАНК г Санкт-Петербург</x:t>
  </x:si>
  <x:si>
    <x:t>(номера расчетных и иных счетов и наименование банков)</x:t>
  </x:si>
  <x:si>
    <x:t>I. Доходы и расходы</x:t>
  </x:si>
  <x:si>
    <x:t>Регистрация</x:t>
  </x:si>
  <x:si>
    <x:t>Сумма</x:t>
  </x:si>
  <x:si>
    <x:t>№
п/п</x:t>
  </x:si>
  <x:si>
    <x:t>Дата и номер
первичного
документа</x:t>
  </x:si>
  <x:si>
    <x:t>Содержание операции</x:t>
  </x:si>
  <x:si>
    <x:t>Доходы,
учитываемые 
при исчислении
налоговой базы
(рублей)</x:t>
  </x:si>
  <x:si>
    <x:t>Расходы,
учитываемые
при исчислении
налоговой базы
(рублей)</x:t>
  </x:si>
  <x:si>
    <x:t>01.01.2026 №114045 от 01.01.2026</x:t>
  </x:si>
  <x:si>
    <x:t>Акт выполненных работ</x:t>
  </x:si>
  <x:si>
    <x:t/>
  </x:si>
  <x:si>
    <x:t>01.01.2026 №13775585 от 01.01.2026</x:t>
  </x:si>
  <x:si>
    <x:t>Отчет о перевыставлении услуг</x:t>
  </x:si>
  <x:si>
    <x:t>01.01.2026 №20260131 от 01.01.2026</x:t>
  </x:si>
  <x:si>
    <x:t>Агентский отчет</x:t>
  </x:si>
  <x:si>
    <x:t>01.01.2026 №ЗВ - 49915 от 01.01.2026</x:t>
  </x:si>
  <x:si>
    <x:t>Акт об оказанных услугах (Звёздные товары)</x:t>
  </x:si>
  <x:si>
    <x:t>01.01.2026 №588548173	01.01.2026</x:t>
  </x:si>
  <x:si>
    <x:t>Себестоимость ВБ</x:t>
  </x:si>
  <x:si>
    <x:t>01.01.2026 №588548172	01.01.2026</x:t>
  </x:si>
  <x:si>
    <x:t>04.01.2026 №587305829</x:t>
  </x:si>
  <x:si>
    <x:t>Доходы от реализации товаров и услуг</x:t>
  </x:si>
  <x:si>
    <x:t>Расходы на ведение бизнеса</x:t>
  </x:si>
  <x:si>
    <x:t>04.01.2026 №587305842</x:t>
  </x:si>
  <x:si>
    <x:t>05.01.2026 №587305842	05.01.2026</x:t>
  </x:si>
  <x:si>
    <x:t>05.01.2026 №587305829	05.01.2026</x:t>
  </x:si>
  <x:si>
    <x:t>11.01.2026 №595076982</x:t>
  </x:si>
  <x:si>
    <x:t>11.01.2026 №595076983</x:t>
  </x:si>
  <x:si>
    <x:t>12.01.2026 №595076983	12.01.2026</x:t>
  </x:si>
  <x:si>
    <x:t>12.01.2026 №595076982	12.01.2026</x:t>
  </x:si>
  <x:si>
    <x:t>13.01.2026 №5</x:t>
  </x:si>
  <x:si>
    <x:t>Оплата за товары по Счёт-оферта № 284049 от 13 января 2026 г. НДС не облагается.</x:t>
  </x:si>
  <x:si>
    <x:t>15.01.2026 №19406</x:t>
  </x:si>
  <x:si>
    <x:t>Аванс по зарплате за Январь 2026 Блинова Татьяна Алексеевна
Без НДС.</x:t>
  </x:si>
  <x:si>
    <x:t>15.01.2026 №19405</x:t>
  </x:si>
  <x:si>
    <x:t>Аванс по зарплате за Январь 2026 Терещенко Светлана Сергеевна
Без НДС.</x:t>
  </x:si>
  <x:si>
    <x:t>15.01.2026 №3813872 от 15.01.2026</x:t>
  </x:si>
  <x:si>
    <x:t>Выкуп товара у селлера (неотфактуровка)</x:t>
  </x:si>
  <x:si>
    <x:t>16.01.2026 №№3877728 от 16.01.2026</x:t>
  </x:si>
  <x:si>
    <x:t>Выкуп товара у селлера</x:t>
  </x:si>
  <x:si>
    <x:t>18.01.2026 №344508</x:t>
  </x:si>
  <x:si>
    <x:t>Покупка PURCHASE_CB в ТУ Сбербанка WB*WILDBERRIES SBERPAY по карте MIR 2202207EE6261557 за 2026-01-18. Держатель ТЕРЕЩЕНКО СВЕТЛАНА СЕРГЕЕВНА. 1010 КА_857940 Чек он-лайн №344508 от 18.01.2026</x:t>
  </x:si>
  <x:si>
    <x:t>19.01.2026 №19411</x:t>
  </x:si>
  <x:si>
    <x:t>Оплата за товары по Счёт-оферта № 299594 от 19 января 2026 г. В том числе НДС - 54.10 рублей.</x:t>
  </x:si>
  <x:si>
    <x:t>19.01.2026 №601660985</x:t>
  </x:si>
  <x:si>
    <x:t>19.01.2026 №601660986</x:t>
  </x:si>
  <x:si>
    <x:t>19.01.2026 №601660986	19.01.2026</x:t>
  </x:si>
  <x:si>
    <x:t>19.01.2026 №601660985	19.01.2026</x:t>
  </x:si>
  <x:si>
    <x:t>20.01.2026 №575538</x:t>
  </x:si>
  <x:si>
    <x:t>Уплачены проценты с 20.01.2026 по 20.01.2026 по счету №40702810355000147717 в рамках договора банковского счета и сделки № 9055410898 от 19.01.2026</x:t>
  </x:si>
  <x:si>
    <x:t>24.01.2026 №75190</x:t>
  </x:si>
  <x:si>
    <x:t>Плата за СберБизнес Прайм за период 25.01.2026-24.02.2026 дог. от 08.12.2024 №40702810355000147717 в размере 1590.00 руб., из них за Организацию обслуживания НБС 24.00 руб., в т.ч. НДС 4.33 руб.</x:t>
  </x:si>
  <x:si>
    <x:t>25.01.2026 №607686697</x:t>
  </x:si>
  <x:si>
    <x:t>25.01.2026 №607686698</x:t>
  </x:si>
  <x:si>
    <x:t>26.01.2026 №607686698	26.01.2026</x:t>
  </x:si>
  <x:si>
    <x:t>26.01.2026 №607686697	26.01.2026</x:t>
  </x:si>
  <x:si>
    <x:t>27.01.2026 №19419</x:t>
  </x:si>
  <x:si>
    <x:t>Оплата переменной осставляющей по Договору
аренды нежилого помещения №050-ВДМ/11-2025 от
24.11.2025г за январь по сч. 23 от 26.01.26. В том числе НДС 5 % - 250.00 рублей.</x:t>
  </x:si>
  <x:si>
    <x:t>27.01.2026 №19418</x:t>
  </x:si>
  <x:si>
    <x:t>Арендная плата (постоянная составляющая) по Договору
аренды нежилого помещения №050-ВДМ/11-2025 от
24.11.2025г. за период с 01 по 20 февраля 2026. В том числе НДС 5 % - 2035.71 рублей.</x:t>
  </x:si>
  <x:si>
    <x:t>28.01.2026 №2763238189</x:t>
  </x:si>
  <x:si>
    <x:t>Единый страховой взнос за сотрудников</x:t>
  </x:si>
  <x:si>
    <x:t>28.01.2026 №2772973374</x:t>
  </x:si>
  <x:si>
    <x:t>НДФЛ по ставке 13% и НДФЛ нерезидентов</x:t>
  </x:si>
  <x:si>
    <x:t>30.01.2026 №19424</x:t>
  </x:si>
  <x:si>
    <x:t>Заработная плата за Январь 2026 Блинова Татьяна Алексеевна
Без НДС.</x:t>
  </x:si>
  <x:si>
    <x:t>30.01.2026 №19425</x:t>
  </x:si>
  <x:si>
    <x:t>Заработная плата за Январь 2026 Терещенко Светлана Сергеевна
Без НДС.</x:t>
  </x:si>
  <x:si>
    <x:t>30.01.2026 №19426</x:t>
  </x:si>
  <x:si>
    <x:t>Стр. взносы на ОСС от несчастных сл. на производстве и проф. заболеваний, за январь 2026 г.
Без НДС.</x:t>
  </x:si>
  <x:si>
    <x:t>30.01.2026 №478436</x:t>
  </x:si>
  <x:si>
    <x:t>Покупка PURCHASE_CB в ТУ Сбербанка YANDEX*5815*PLUS по карте MIR 2202207EE6261557 за 2026-01-30. Держатель ТЕРЕЩЕНКО СВЕТЛАНА СЕРГЕЕВНА. 1010 КА_238923 Чек он-лайн №478436 от 30.01.2026</x:t>
  </x:si>
  <x:si>
    <x:t>31.01.2026 №14830459</x:t>
  </x:si>
  <x:si>
    <x:t>31.01.2026 №№3936104 от 31.01.2026</x:t>
  </x:si>
  <x:si>
    <x:t>Себестоимость Озон</x:t>
  </x:si>
  <x:si>
    <x:t>01.02.2026 №614332159</x:t>
  </x:si>
  <x:si>
    <x:t>01.02.2026 №№3961432 от 01.02.2026</x:t>
  </x:si>
  <x:si>
    <x:t>01.02.2026 №№3610295 от 01.02.2026</x:t>
  </x:si>
  <x:si>
    <x:t>01.02.2026 №№14460885 от 01.02.2026</x:t>
  </x:si>
  <x:si>
    <x:t>01.02.2026 №№20260228 от 01.02.2026</x:t>
  </x:si>
  <x:si>
    <x:t>01.02.2026 №№ЗВ - 103413 от 01.02.2026</x:t>
  </x:si>
  <x:si>
    <x:t>01.02.2026 №№30556 от 01.02.2026</x:t>
  </x:si>
  <x:si>
    <x:t>Отчет по штрафам</x:t>
  </x:si>
  <x:si>
    <x:t>02.02.2026 №880550</x:t>
  </x:si>
  <x:si>
    <x:t>Выплата процентов с 22.01.2026 по 22.01.2026 по счету №40702810355000147717 в рамках договора банковского счета и сделки № 9055458423 от 21.01.2026</x:t>
  </x:si>
  <x:si>
    <x:t>02.02.2026 №881087</x:t>
  </x:si>
  <x:si>
    <x:t>Выплата процентов с 24.01.2026 по 26.01.2026 по счету №40702810355000147717 в рамках договора банковского счета и сделки № 9055491812 от 23.01.2026</x:t>
  </x:si>
  <x:si>
    <x:t>02.02.2026 №19430</x:t>
  </x:si>
  <x:si>
    <x:t>Оплата за стеллажи металлические по сч.№ ТБУТ-1070 от 2 февраля 2026 г В том числе НДС 22 % - 3878.85 рублей.</x:t>
  </x:si>
  <x:si>
    <x:t>02.02.2026 №614332158</x:t>
  </x:si>
  <x:si>
    <x:t>02.02.2026 №614332158	02.02.2026</x:t>
  </x:si>
  <x:si>
    <x:t>02.02.2026 №614332159	02.02.2026</x:t>
  </x:si>
  <x:si>
    <x:t>03.02.2026 №190021</x:t>
  </x:si>
  <x:si>
    <x:t>Выплата процентов по депозиту 9055599593.ПУ00 от 27.01.2026 за период с 28.01.2026 по 03.02.2026, без НДС</x:t>
  </x:si>
  <x:si>
    <x:t>05.02.2026 №2782843457</x:t>
  </x:si>
  <x:si>
    <x:t>06.02.2026 №19433</x:t>
  </x:si>
  <x:si>
    <x:t>Оплата за аренду помещения по договору аренды помещения ком. №27 33,6 кв.м. за февраль. В том числе НДС 22 % - 8979.28 рублей.</x:t>
  </x:si>
  <x:si>
    <x:t>08.02.2026 №621708560</x:t>
  </x:si>
  <x:si>
    <x:t>08.02.2026 №621708561</x:t>
  </x:si>
  <x:si>
    <x:t>09.02.2026 №19436</x:t>
  </x:si>
  <x:si>
    <x:t>Оплата за товары по Счёт-оферта 362810 от 9 февраля 2026 г. В том числе НДС 22 % - 713.02 рублей.</x:t>
  </x:si>
  <x:si>
    <x:t>09.02.2026 №621708560	09.02.2026</x:t>
  </x:si>
  <x:si>
    <x:t>09.02.2026 №621708561	09.02.2026</x:t>
  </x:si>
  <x:si>
    <x:t>13.02.2026 №19447</x:t>
  </x:si>
  <x:si>
    <x:t>Аванс по зарплате за Февраль 2026 Блинова Татьяна Алексеевна
Без НДС.</x:t>
  </x:si>
  <x:si>
    <x:t>13.02.2026 №19448</x:t>
  </x:si>
  <x:si>
    <x:t>Аванс по зарплате за Февраль 2026 Терещенко Светлана Сергеевна
Без НДС.</x:t>
  </x:si>
  <x:si>
    <x:t>15.02.2026 №627901052</x:t>
  </x:si>
  <x:si>
    <x:t>15.02.2026 №627901053</x:t>
  </x:si>
  <x:si>
    <x:t>15.02.2026 №№4066703 от 15.02.2026</x:t>
  </x:si>
  <x:si>
    <x:t>16.02.2026 №№4128099 от 16.02.2026</x:t>
  </x:si>
  <x:si>
    <x:t>16.02.2026 №627901052	16.02.2026</x:t>
  </x:si>
  <x:si>
    <x:t>16.02.2026 №627901053	16.02.2026</x:t>
  </x:si>
  <x:si>
    <x:t>17.02.2026 №959517</x:t>
  </x:si>
  <x:si>
    <x:t>Покупка PURCHASE_CB в ТУ Сбербанка WB*WILDBERRIES SBERPAY по карте MIR 2202207EE6261557 за 2026-02-17. Держатель ТЕРЕЩЕНКО СВЕТЛАНА СЕРГЕЕВНА. 1010 КА_049215 Чек он-лайн №959517 от 17.02.2026</x:t>
  </x:si>
  <x:si>
    <x:t>22.02.2026 №635050430</x:t>
  </x:si>
  <x:si>
    <x:t>22.02.2026 №635050431</x:t>
  </x:si>
  <x:si>
    <x:t>23.02.2026 №635050431	23.02.2026</x:t>
  </x:si>
  <x:si>
    <x:t>23.02.2026 №635050430	23.02.2026</x:t>
  </x:si>
  <x:si>
    <x:t>24.02.2026 №644838</x:t>
  </x:si>
  <x:si>
    <x:t>Выплата процентов по депозиту 9055900973.00 от 18.02.2026 за период с 19.02.2026 по 24.02.2026, без НДС</x:t>
  </x:si>
  <x:si>
    <x:t>24.02.2026 №486307</x:t>
  </x:si>
  <x:si>
    <x:t>Плата за СберБизнес Прайм за период 25.02.2026-24.03.2026 дог. от 08.12.2024 №40702810355000147717 в размере 1590.00 руб., из них за Организацию обслуживания НБС 24.00 руб., в т.ч. НДС 4.33 руб.</x:t>
  </x:si>
  <x:si>
    <x:t>24.02.2026 №852088</x:t>
  </x:si>
  <x:si>
    <x:t>Покупка PURCHASE_CB в ТУ shop.cargo-avto.ru по карте MIR 2202207EE6261557 за 2026-02-24. Держатель ТЕРЕЩЕНКО СВЕТЛАНА СЕРГЕЕВНА. 1110 КА_557552 Чек он-лайн №852088 от 24.02.2026</x:t>
  </x:si>
  <x:si>
    <x:t>27.02.2026 №59466</x:t>
  </x:si>
  <x:si>
    <x:t>Заработная плата за Февраль 2026 Терещенко Светлана Сергеевна
Без НДС.</x:t>
  </x:si>
  <x:si>
    <x:t>27.02.2026 №59465</x:t>
  </x:si>
  <x:si>
    <x:t>Заработная плата за Февраль 2026 Блинова Татьяна Алексеевна
Без НДС.</x:t>
  </x:si>
  <x:si>
    <x:t>28.02.2026 №№4243701 от 28.02.2026</x:t>
  </x:si>
  <x:si>
    <x:t>28.02.2026 №№15213354 от 28.02.2026</x:t>
  </x:si>
  <x:si>
    <x:t>28.02.2026 №15213354</x:t>
  </x:si>
  <x:si>
    <x:t>01.03.2026 №490904</x:t>
  </x:si>
  <x:si>
    <x:t>Покупка PURCHASE_CB в ТУ Сбербанка YANDEX*5815*PLUS по карте MIR 2202207EE6261557 за 2026-03-01. Держатель ТЕРЕЩЕНКО СВЕТЛАНА СЕРГЕЕВНА. 1010 КА_912307 Чек он-лайн №490904 от 01.03.2026</x:t>
  </x:si>
  <x:si>
    <x:t>01.03.2026 №№4221769 от 01.03.2026</x:t>
  </x:si>
  <x:si>
    <x:t>01.03.2026 №№12777870 от 01.03.2026</x:t>
  </x:si>
  <x:si>
    <x:t>01.03.2026 №№15146483 от 01.03.2026</x:t>
  </x:si>
  <x:si>
    <x:t>01.03.2026 №№20260331 от 01.03.2026</x:t>
  </x:si>
  <x:si>
    <x:t>01.03.2026 №№ЗВ - 194176 от 01.03.2026</x:t>
  </x:si>
  <x:si>
    <x:t>01.03.2026 №№183480 от 01.03.2026</x:t>
  </x:si>
  <x:si>
    <x:t>02.03.2026 №834622</x:t>
  </x:si>
  <x:si>
    <x:t>Выплата процентов с 06.02.2026 по 11.02.2026 по счету №40702810355000147717 в рамках договора банковского счета и сделки № 9055686614 от 05.02.2026</x:t>
  </x:si>
  <x:si>
    <x:t>02.03.2026 №641737657</x:t>
  </x:si>
  <x:si>
    <x:t>02.03.2026 №641737658</x:t>
  </x:si>
  <x:si>
    <x:t>02.03.2026 №641737657	02.03.2026</x:t>
  </x:si>
  <x:si>
    <x:t>02.03.2026 №641737658	02.03.2026</x:t>
  </x:si>
  <x:si>
    <x:t>02.03.2026 №2798068132</x:t>
  </x:si>
  <x:si>
    <x:t>02.03.2026 №2803279840</x:t>
  </x:si>
  <x:si>
    <x:t>03.03.2026 №59469</x:t>
  </x:si>
  <x:si>
    <x:t>Стр. взносы на ОСС от несчастных сл. на производстве и проф. заболеваний, за февраль 2026 г.
Без НДС.</x:t>
  </x:si>
  <x:si>
    <x:t>03.03.2026 №59471</x:t>
  </x:si>
  <x:si>
    <x:t>Оплата за март по договору №2026/3 от 11.02.2026 с учетом переплаты  313,49 рублей аренду за март, 313,49 рублей за гарантийный платеж. В том числе НДС 22 % - 8803.81 рублей.</x:t>
  </x:si>
  <x:si>
    <x:t>05.03.2026 №2814370533</x:t>
  </x:si>
  <x:si>
    <x:t>06.03.2026 №441098</x:t>
  </x:si>
  <x:si>
    <x:t>Покупка PURCHASE_CB в ТУ Сбербанка YM*citilink_62 по карте MIR 2202207EE6261557 за 2026-03-06. Держатель ТЕРЕЩЕНКО СВЕТЛАНА СЕРГЕЕВНА. 1010 КА_493200 Чек он-лайн №441098 от 06.03.2026</x:t>
  </x:si>
  <x:si>
    <x:t>08.03.2026 №651271415</x:t>
  </x:si>
  <x:si>
    <x:t>09.03.2026 №651271416</x:t>
  </x:si>
  <x:si>
    <x:t>09.03.2026 №651271416	09.03.2026</x:t>
  </x:si>
  <x:si>
    <x:t>09.03.2026 №651271415	09.03.2026</x:t>
  </x:si>
  <x:si>
    <x:t>11.03.2026 №357693</x:t>
  </x:si>
  <x:si>
    <x:t>Уплачены проценты с 06.03.2026 по 11.03.2026 по счету №40702810355000147717 в рамках договора банковского счета и сделки № 9055217731 от 05.03.2026</x:t>
  </x:si>
  <x:si>
    <x:t>11.03.2026 №59475</x:t>
  </x:si>
  <x:si>
    <x:t>Компенсация потребляемых коммунальных услуг п.2.2.18 (Февраль
2026) по сч. 94 от 05.03.26. В том числе НДС 22 % - 752.24 рублей.</x:t>
  </x:si>
  <x:si>
    <x:t>11.03.2026 №59476</x:t>
  </x:si>
  <x:si>
    <x:t>Стр. взносы на ОСС от несчастных сл. на производстве и проф. заболеваний НДС не облагается.</x:t>
  </x:si>
  <x:si>
    <x:t>11.03.2026 №59477</x:t>
  </x:si>
  <x:si>
    <x:t>Штраф:Неуплата или неполная уплата сумм страховых взносов НДС не облагается.</x:t>
  </x:si>
  <x:si>
    <x:t>11.03.2026 №59478</x:t>
  </x:si>
  <x:si>
    <x:t>Требование об уплате пени за несвоевременную уплату страховых взносов НДС не облагается.</x:t>
  </x:si>
  <x:si>
    <x:t>13.03.2026 №59480</x:t>
  </x:si>
  <x:si>
    <x:t>Аванс по зарплате за Март 2026 Блинова Татьяна Алексеевна
Без НДС.</x:t>
  </x:si>
  <x:si>
    <x:t>13.03.2026 №59481</x:t>
  </x:si>
  <x:si>
    <x:t>Аванс по зарплате за Март 2026 Терещенко Светлана Сергеевна
Без НДС.</x:t>
  </x:si>
  <x:si>
    <x:t>15.03.2026 №657884992</x:t>
  </x:si>
  <x:si>
    <x:t>16.03.2026 №657884991</x:t>
  </x:si>
  <x:si>
    <x:t>16.03.2026 №657884991	16.03.2026</x:t>
  </x:si>
  <x:si>
    <x:t>16.03.2026 №657884992	16.03.2026</x:t>
  </x:si>
  <x:si>
    <x:t>19.03.2026 №427490</x:t>
  </x:si>
  <x:si>
    <x:t>Покупка PURCHASE_CB в ТУ Сбербанка WB*WILDBERRIES SBERPAY по карте MIR 2202207EE6261557 за 2026-03-19. Держатель ТЕРЕЩЕНКО СВЕТЛАНА СЕРГЕЕВНА. 1010 КА_948050 Чек он-лайн №427490 от 19.03.2026</x:t>
  </x:si>
  <x:si>
    <x:t>22.03.2026 №664224238</x:t>
  </x:si>
  <x:si>
    <x:t>22.03.2026 №664224244</x:t>
  </x:si>
  <x:si>
    <x:t>23.03.2026 №664224244	23.03.2026</x:t>
  </x:si>
  <x:si>
    <x:t>23.03.2026 №664224238	23.03.2026</x:t>
  </x:si>
  <x:si>
    <x:t>24.03.2026 №649038</x:t>
  </x:si>
  <x:si>
    <x:t>Плата за СберБизнес Прайм за период 25.03.2026-24.04.2026 дог. от 08.12.2024 №40702810355000147717 в размере 1890.00 руб., из них за Организацию обслуживания НБС 24.00 руб., в т.ч. НДС 4.33 руб.</x:t>
  </x:si>
  <x:si>
    <x:t>29.03.2026 №671747386</x:t>
  </x:si>
  <x:si>
    <x:t>29.03.2026 №674676855</x:t>
  </x:si>
  <x:si>
    <x:t>30.03.2026 №№4473297 от 31.03.2026</x:t>
  </x:si>
  <x:si>
    <x:t>30.03.2026 №671747386	30.03.2026</x:t>
  </x:si>
  <x:si>
    <x:t>30.03.2026 №674676855	30.03.2026</x:t>
  </x:si>
  <x:si>
    <x:t>30.03.2026 №2815913390</x:t>
  </x:si>
  <x:si>
    <x:t>30.03.2026 №2835527369</x:t>
  </x:si>
  <x:si>
    <x:t>31.03.2026 №59496</x:t>
  </x:si>
  <x:si>
    <x:t>Заработная плата за Март 2026 Блинова Татьяна Алексеевна
Без НДС.</x:t>
  </x:si>
  <x:si>
    <x:t>31.03.2026 №59497</x:t>
  </x:si>
  <x:si>
    <x:t>Заработная плата за Март 2026 Терещенко Светлана Сергеевна
Без НДС.</x:t>
  </x:si>
  <x:si>
    <x:t>31.03.2026 №59498</x:t>
  </x:si>
  <x:si>
    <x:t>Стр. взносы на ОСС от несчастных сл. на производстве и проф. заболеваний, за март 2026 г.
Без НДС.</x:t>
  </x:si>
  <x:si>
    <x:t>31.03.2026 №59499</x:t>
  </x:si>
  <x:si>
    <x:t>Оплата за разработку ПО по сч. № ДСК-01 от 25 марта 2026. НДС не облагается.</x:t>
  </x:si>
  <x:si>
    <x:t>31.03.2026 №59500</x:t>
  </x:si>
  <x:si>
    <x:t>31.03.2026 №867885</x:t>
  </x:si>
  <x:si>
    <x:t>Покупка PURCHASE_CB в ТУ Сбербанка YANDEX*5815*PLUS по карте MIR 2202207EE6261557 за 2026-03-31. Держатель ТЕРЕЩЕНКО СВЕТЛАНА СЕРГЕЕВНА. 1010 КА_729845 Чек он-лайн №867885 от 31.03.2026</x:t>
  </x:si>
  <x:si>
    <x:t>31.03.2026 №59505</x:t>
  </x:si>
  <x:si>
    <x:t>31.03.2026 №59507</x:t>
  </x:si>
  <x:si>
    <x:t>31.03.2026 №№15770494 от 31.03.2026</x:t>
  </x:si>
  <x:si>
    <x:t>31.03.2026 №15770494</x:t>
  </x:si>
  <x:si>
    <x:t>Итого за I квартал</x:t>
  </x:si>
  <x:si>
    <x:t>01.04.2026 №924919</x:t>
  </x:si>
  <x:si>
    <x:t>Выплата процентов с 13.03.2026 по 16.03.2026 по счету №40702810355000147717 в рамках договора банковского счета и сделки № 9055350650 от 12.03.2026</x:t>
  </x:si>
  <x:si>
    <x:t>01.04.2026 №930122</x:t>
  </x:si>
  <x:si>
    <x:t>Выплата процентов с 21.03.2026 по 25.03.2026 по счету №40702810355000147717 в рамках договора банковского счета и сделки № 9055544141 от 20.03.2026</x:t>
  </x:si>
  <x:si>
    <x:t>06.04.2026 №59516</x:t>
  </x:si>
  <x:si>
    <x:t>Оплата за аренду помещения по договору аренды помещения ком. №27 33,6 кв.м. за апрель. В том числе НДС 22 % - 8979.28 рублей.</x:t>
  </x:si>
  <x:si>
    <x:t>06.04.2026 №2851107257</x:t>
  </x:si>
  <x:si>
    <x:t>07.04.2026 №59519</x:t>
  </x:si>
  <x:si>
    <x:t>За проведение СОУТ по сч. УТ-184 от 6 апреля 2026 г. НДС не облагается.</x:t>
  </x:si>
  <x:si>
    <x:t>07.04.2026 №59520</x:t>
  </x:si>
  <x:si>
    <x:t>Компенсация потребляемых коммунальных услуг п.2.2.18 (Март 
2026) по сч. 120 от 07 апреля 2026. НДС не облагается.</x:t>
  </x:si>
  <x:si>
    <x:t>13.04.2026 №847047</x:t>
  </x:si>
  <x:si>
    <x:t>Покупка PURCHASE_CB в ТУ shop.cargo-avto.ru по карте MIR 2202207EE6261557 за 2026-04-13. Держатель ТЕРЕЩЕНКО СВЕТЛАНА СЕРГЕЕВНА. 1110 КА_982604 Чек он-лайн №847047 от 13.04.2026</x:t>
  </x:si>
  <x:si>
    <x:t>15.04.2026 №59532</x:t>
  </x:si>
  <x:si>
    <x:t>Аванс по зарплате за Апрель 2026 Блинова Татьяна Алексеевна
Без НДС.</x:t>
  </x:si>
  <x:si>
    <x:t>18.04.2026 №560172</x:t>
  </x:si>
  <x:si>
    <x:t>Покупка PURCHASE_CB в ТУ Сбербанка WB*WILDBERRIES SBERPAY по карте MIR 2202207EE6261557 за 2026-04-18. Держатель ТЕРЕЩЕНКО СВЕТЛАНА СЕРГЕЕВНА. 1010 КА_697163 Чек он-лайн №560172 от 18.04.2026</x:t>
  </x:si>
  <x:si>
    <x:t>24.04.2026 №596874</x:t>
  </x:si>
  <x:si>
    <x:t>Плата за СберБизнес Прайм за период 25.04.2026-24.05.2026 дог. от 08.12.2024 №40702810355000147717 в размере 1890.00 руб., в т.ч. НДС</x:t>
  </x:si>
  <x:si>
    <x:t>28.04.2026 №488737</x:t>
  </x:si>
  <x:si>
    <x:t>Покупка PURCHASE_CB в ТУ Сбербанка KOMUS PP по карте MIR 2202207EE6261557 за 2026-04-28. Держатель ТЕРЕЩЕНКО СВЕТЛАНА СЕРГЕЕВНА. 1010 КА_713670 Чек он-лайн №488737 от 28.04.2026</x:t>
  </x:si>
  <x:si>
    <x:t>28.04.2026 №2849904164</x:t>
  </x:si>
  <x:si>
    <x:t>28.04.2026 №2878100376</x:t>
  </x:si>
  <x:si>
    <x:t>30.04.2026 №59553</x:t>
  </x:si>
  <x:si>
    <x:t>Заработная плата за Апрель 2026 Блинова Татьяна Алексеевна
Без НДС.</x:t>
  </x:si>
  <x:si>
    <x:t>30.04.2026 №59555</x:t>
  </x:si>
  <x:si>
    <x:t>Стр. взносы на ОСС от несчастных сл. на производстве и проф. заболеваний, за апрель 2026 г.
Без НДС.</x:t>
  </x:si>
  <x:si>
    <x:t>30.04.2026 №59556</x:t>
  </x:si>
  <x:si>
    <x:t>Оплата за разработку ПО по сч. № ДСК-02 от 30 апреля 2026. НДС не облагается.</x:t>
  </x:si>
  <x:si>
    <x:t>30.04.2026 №59557</x:t>
  </x:si>
  <x:si>
    <x:t>Оплата за проверку и исправление карточек товара по сч. 28818564 от 29.04.26 (самозанятый) НПД 6% НДС не облагается.</x:t>
  </x:si>
  <x:si>
    <x:t>30.04.2026 №617064</x:t>
  </x:si>
  <x:si>
    <x:t>Комиссия за сервис Безопасный бизнес [Тариф Оптимальный] за период с 2026-04-30 по 2026-05-29, в т.ч. НДС. По договору № 8247588936046714880 от 2024-12-08.</x:t>
  </x:si>
  <x:si>
    <x:t>30.04.2026 №59554</x:t>
  </x:si>
  <x:si>
    <x:t>Заработная плата за Апрель 2026 Терещенко Светлана Сергеевна
Без НДС.</x:t>
  </x:si>
  <x:si>
    <x:t>30.04.2026 №59558</x:t>
  </x:si>
  <x:si>
    <x:t>Оплата за обработку данных (отзывы и вопросы покупателей) по сч.1 от 30.04.26 (самозанятый) НПД 6%. НДС не облагается.</x:t>
  </x:si>
  <x:si>
    <x:t>30.04.2026 №59559</x:t>
  </x:si>
  <x:si>
    <x:t>30.04.2026 №341687</x:t>
  </x:si>
  <x:si>
    <x:t>Покупка PURCHASE_CB в ТУ Сбербанка YANDEX*5815*PLUS по карте MIR 2202207EE6261557 за 2026-04-30. Держатель ТЕРЕЩЕНКО СВЕТЛАНА СЕРГЕЕВНА. 1010 КА_461994 Чек он-лайн №341687 от 30.04.2026</x:t>
  </x:si>
  <x:si>
    <x:t>Возврат по п/п № 59556 от 30.04.2026. Счет получателя закрыт: 2026-04-21. НДС не облагается.</x:t>
  </x:si>
  <x:si>
    <x:t>30.04.2026 №16218215</x:t>
  </x:si>
  <x:si>
    <x:t>30.04.2026</x:t>
  </x:si>
  <x:si>
    <x:t>Себестоимость товара</x:t>
  </x:si>
  <x:si>
    <x:t>04.05.2026 №59564</x:t>
  </x:si>
  <x:si>
    <x:t>Авансовый платеж за разработку ПО по сч. № ДСК-02 от 30 апреля 2026. НДС не облагается.</x:t>
  </x:si>
  <x:si>
    <x:t>05.05.2026 №2890857241</x:t>
  </x:si>
  <x:si>
    <x:t>07.05.2026 №59572</x:t>
  </x:si>
  <x:si>
    <x:t>Оплата за аренду помещения по договору аренды помещения ком. №27 33,6 кв.м. за май. В том числе НДС 22 % - 8854.46 рублей.</x:t>
  </x:si>
  <x:si>
    <x:t>07.05.2026 №59573</x:t>
  </x:si>
  <x:si>
    <x:t>08.05.2026 №59575</x:t>
  </x:si>
  <x:si>
    <x:t>Оплата за картриджи по сч.№5597 от 07.05.2026 В том числе НДС 22 % - 113.66 рублей.</x:t>
  </x:si>
  <x:si>
    <x:t>08.05.2026 №59576</x:t>
  </x:si>
  <x:si>
    <x:t>Оплата за картриджи по сч.№5606 от 08.05.2026 В том числе НДС 22 % - 151.21 рублей.</x:t>
  </x:si>
  <x:si>
    <x:t>09.05.2026 №353097</x:t>
  </x:si>
  <x:si>
    <x:t>Покупка PURCHASE_CB в ТУ SP CARGO-AVTO RU по карте MIR 2202207EE6261557 за 2026-05-09. Держатель ТЕРЕЩЕНКО СВЕТЛАНА СЕРГЕЕВНА. 1110 КА_584903 Чек он-лайн №353097 от 09.05.2026</x:t>
  </x:si>
  <x:si>
    <x:t>13.05.2026 №59578</x:t>
  </x:si>
  <x:si>
    <x:t>13.05.2026 №59579</x:t>
  </x:si>
  <x:si>
    <x:t>Компенсация потребляемых коммунальных услуг п.2.2.18 (Апрель
2026) по сч. 147 от 07 мая 2026. НДС не облагается.</x:t>
  </x:si>
  <x:si>
    <x:t>14.05.2026 №59580</x:t>
  </x:si>
  <x:si>
    <x:t>Оплата за обработку данных (отзывы и вопросы покупателей) по сч.29248063 от 13 мая 2026 г. (самозанятый) НПД 6%. НДС не облагается.</x:t>
  </x:si>
  <x:si>
    <x:t>15.05.2026 №59584</x:t>
  </x:si>
  <x:si>
    <x:t>Аванс по зарплате за Май 2026 Блинова Татьяна Алексеевна
Без НДС.</x:t>
  </x:si>
  <x:si>
    <x:t>15.05.2026 №59585</x:t>
  </x:si>
  <x:si>
    <x:t>Аванс по зарплате за Май 2026 Терещенко Светлана Сергеевна
Без НДС.</x:t>
  </x:si>
  <x:si>
    <x:t>18.05.2026 №388374</x:t>
  </x:si>
  <x:si>
    <x:t>Покупка PURCHASE_CB в ТУ Сбербанка WB*WILDBERRIES SBERPAY по карте MIR 2202207EE6261557 за 2026-05-18. Держатель ТЕРЕЩЕНКО СВЕТЛАНА СЕРГЕЕВНА. 1010 КА_643637 Чек он-лайн №388374 от 18.05.2026</x:t>
  </x:si>
  <x:si>
    <x:t>18.05.2026 №59589</x:t>
  </x:si>
  <x:si>
    <x:t>Оплата за проверку и исправление карточек товара по сч. 29343185 от 15 мая 2026 г. (самозанятый) НПД 6% НДС не облагается.</x:t>
  </x:si>
  <x:si>
    <x:t>19.05.2026 №59590</x:t>
  </x:si>
  <x:si>
    <x:t>Оплата за обработку данных (отзывы и вопросы покупателей) по сч.2 от 19.05.26 (самозанятый) НПД 6%. НДС не облагается.</x:t>
  </x:si>
  <x:si>
    <x:t>19.05.2026 №59593</x:t>
  </x:si>
  <x:si>
    <x:t>Авансовый платеж за выполнение работ по разработке программ и баз данных по договору 150526 от 15.05.2026. НДС не облагается.</x:t>
  </x:si>
  <x:si>
    <x:t>20.05.2026 №59595</x:t>
  </x:si>
  <x:si>
    <x:t>Оплата за товары по Счёт-оферта 664612 от 20 мая 2026 г. В том числе НДС 22 % - 1066.82 рублей.</x:t>
  </x:si>
  <x:si>
    <x:t>24.05.2026 №930819</x:t>
  </x:si>
  <x:si>
    <x:t>Плата за СберБизнес Прайм за период 25.05.2026-24.06.2026 дог. от 08.12.2024 №40702810355000147717 в размере 1890.00 руб., в т.ч. НДС</x:t>
  </x:si>
  <x:si>
    <x:t>25.05.2026 №59602</x:t>
  </x:si>
  <x:si>
    <x:t>28.05.2026 №59607</x:t>
  </x:si>
  <x:si>
    <x:t>Оплата за оказание бухгалтерских и юридических услуг по сч. 1 от 27.05.26 НДС не облагается.</x:t>
  </x:si>
  <x:si>
    <x:t>28.05.2026 №2890857304</x:t>
  </x:si>
  <x:si>
    <x:t>28.05.2026 №2908562480</x:t>
  </x:si>
  <x:si>
    <x:t>29.05.2026 №734889</x:t>
  </x:si>
  <x:si>
    <x:t>Комиссия за сервис Безопасный бизнес [Тариф Оптимальный] за период с 2026-05-30 по 2026-06-29, в т.ч. НДС. По договору № 20241208-33 от 2024-12-08.</x:t>
  </x:si>
  <x:si>
    <x:t>29.05.2026 №59599</x:t>
  </x:si>
  <x:si>
    <x:t>29.05.2026 №59608</x:t>
  </x:si>
  <x:si>
    <x:t>Стр. взносы на ОСС от несчастных сл. на производстве и проф. заболеваний, за май 2026 г.
Без НДС.</x:t>
  </x:si>
  <x:si>
    <x:t>29.05.2026 №59600</x:t>
  </x:si>
  <x:si>
    <x:t>29.05.2026 №59610</x:t>
  </x:si>
  <x:si>
    <x:t>Оплата за выполнение работ по разработке программ и баз данных по договору 150526 от 15.05.2026. НДС не облагается.</x:t>
  </x:si>
  <x:si>
    <x:t>30.05.2026 №271999</x:t>
  </x:si>
  <x:si>
    <x:t>Покупка PURCHASE_CB в ТУ Сбербанка YANDEX*5815*PLUS по карте MIR 2202207EE6261557 за 2026-05-30. Держатель ТЕРЕЩЕНКО СВЕТЛАНА СЕРГЕЕВНА. 1010 КА_111448 Чек он-лайн №271999 от 30.05.2026</x:t>
  </x:si>
  <x:si>
    <x:t>30.05.2026</x:t>
  </x:si>
  <x:si>
    <x:t>31.05.2026 №16646248 от 31.05.2026</x:t>
  </x:si>
  <x:si>
    <x:t>31.05.2026</x:t>
  </x:si>
  <x:si>
    <x:t>31.05.2026 №16646248</x:t>
  </x:si>
  <x:si>
    <x:t>01.06.2026 №59613</x:t>
  </x:si>
  <x:si>
    <x:t>Оплата за обработку данных (отзывы и вопросы покупателей) по сч.3 от 01.06.26 (самозанятый) НПД 6%. НДС не облагается.</x:t>
  </x:si>
  <x:si>
    <x:t>01.06.2026 №59617</x:t>
  </x:si>
  <x:si>
    <x:t>За услуги по комплектации и упаковке заказов по дог. 8 от 25.05.26, по сч. №29890151 от 1 июня 2026 г. (самозанятый, НПД 6%, сумма 19340) НДС не облагается.</x:t>
  </x:si>
  <x:si>
    <x:t>02.06.2026 №59618</x:t>
  </x:si>
  <x:si>
    <x:t>Оплата за проверку и исправление карточек товара по сч. 29897639 от 1 июня 2026 г (самозанятый) НПД 6% НДС не облагается.</x:t>
  </x:si>
  <x:si>
    <x:t>02.06.2026 №701049</x:t>
  </x:si>
  <x:si>
    <x:t>Покупка PURCHASE_CB в ТУ e-office24 по карте MIR 2202207EE6261557 за 2026-06-02. Держатель ТЕРЕЩЕНКО СВЕТЛАНА СЕРГЕЕВНА. 1110 КА_797881 Чек он-лайн №701049 от 02.06.2026</x:t>
  </x:si>
  <x:si>
    <x:t>02.06.2026 №59620</x:t>
  </x:si>
  <x:si>
    <x:t>Оплата за аренду помещения по договору аренды помещения ком. №27 33,6 кв.м. за июнь. В том числе НДС 22 % - 8916.87 рублей.</x:t>
  </x:si>
  <x:si>
    <x:t>02.06.2026 №59619</x:t>
  </x:si>
  <x:si>
    <x:t>Оплата за обработку данных (отзывы и вопросы покупателей) по сч.29936025 от 2 июня 2026 г. (самозанятый) НПД 6%. НДС не облагается.</x:t>
  </x:si>
  <x:si>
    <x:t>03.06.2026 №59622</x:t>
  </x:si>
  <x:si>
    <x:t>04.06.2026 №227079</x:t>
  </x:si>
  <x:si>
    <x:t>Покупка PURCHASE_CB в ТУ shop.cargo-avto.ru по карте MIR 2202207EE6261557 за 2026-06-04. Держатель ТЕРЕЩЕНКО СВЕТЛАНА СЕРГЕЕВНА. 1110 КА_761733 Чек он-лайн №227079 от 04.06.2026</x:t>
  </x:si>
  <x:si>
    <x:t>08.06.2026 №59632</x:t>
  </x:si>
  <x:si>
    <x:t>Компенсация потребляемых коммунальных услуг п.2.2.18 (Май
2026) по сч. 174 от 05 июня 2026. НДС не облагается.</x:t>
  </x:si>
  <x:si>
    <x:t>08.06.2026 №59622</x:t>
  </x:si>
  <x:si>
    <x:t>Возв-т средств по п/п № 59622 от 2026-06-03 - на основании ст. 848 ГК РФ</x:t>
  </x:si>
  <x:si>
    <x:t>08.06.2026 №2920931856</x:t>
  </x:si>
  <x:si>
    <x:t>09.06.2026 №368825</x:t>
  </x:si>
  <x:si>
    <x:t>Покупка PURCHASE_CB в ТУ Сбербанка KHVALOVSKIE VODY_PP по карте MIR 2202207EE6261557 за 2026-06-09. Держатель ТЕРЕЩЕНКО СВЕТЛАНА СЕРГЕЕВНА. 1010 КА_312057 Чек он-лайн №368825 от 09.06.2026</x:t>
  </x:si>
  <x:si>
    <x:t>09.06.2026 №59639</x:t>
  </x:si>
  <x:si>
    <x:t>Требование об уплате недоимки по страховым взносам. НДС не облагается.</x:t>
  </x:si>
  <x:si>
    <x:t>09.06.2026 №59636</x:t>
  </x:si>
  <x:si>
    <x:t>Требование об уплате недоимки по страховым взносам НДС не облагается.</x:t>
  </x:si>
  <x:si>
    <x:t>09.06.2026 №59637</x:t>
  </x:si>
  <x:si>
    <x:t>15.06.2026 №59648</x:t>
  </x:si>
  <x:si>
    <x:t>Аванс по зарплате за Июнь 2026 Блинова Татьяна Алексеевна
Без НДС.</x:t>
  </x:si>
  <x:si>
    <x:t>15.06.2026 №59649</x:t>
  </x:si>
  <x:si>
    <x:t>Аванс по зарплате за Июнь 2026 Терещенко Светлана Сергеевна
Без НДС.</x:t>
  </x:si>
  <x:si>
    <x:t>15.06.2026 №59650</x:t>
  </x:si>
  <x:si>
    <x:t>За услуги по комплектации и упаковке заказов по дог. 8 от 25.05.26, по сч. №30342597 от 15 июня 2026 г. (самозанятый, НПД 6%, сумма 19340) НДС не облагается.</x:t>
  </x:si>
  <x:si>
    <x:t>15.06.2026 №59651</x:t>
  </x:si>
  <x:si>
    <x:t>Оплата за товары по Счёт-оферта 752163 от 15 июня 2026 г. В том числе НДС 22 % - 361.02 рублей.</x:t>
  </x:si>
  <x:si>
    <x:t>16.06.2026 №59652</x:t>
  </x:si>
  <x:si>
    <x:t>Оплата за обработку данных (отзывы и вопросы покупателей) по сч.30343763 от 15 июня 2026 г. (самозанятый) НПД 6%. НДС не облагается.</x:t>
  </x:si>
  <x:si>
    <x:t>16.06.2026 №59653</x:t>
  </x:si>
  <x:si>
    <x:t>Оплата за проверку и исправление карточек товара по сч. 30360504 от 15 июня 2026 г. (самозанятый) НПД 6% НДС не облагается.</x:t>
  </x:si>
  <x:si>
    <x:t>16.06.2026 №59654</x:t>
  </x:si>
  <x:si>
    <x:t>Оплата за обработку данных (отзывы и вопросы покупателей) по сч.4 от 16.06.26 (самозанятый) НПД 6%. НДС не облагается.</x:t>
  </x:si>
  <x:si>
    <x:t>16.06.2026 №407069</x:t>
  </x:si>
  <x:si>
    <x:t>Комиссия за перевод средств со счета ЮЛ на счета ФЛ, открытые в других банках. Без НДС. Договор РКО №40702810355000147717 от 08.12.2024</x:t>
  </x:si>
  <x:si>
    <x:t>17.06.2026 №488536</x:t>
  </x:si>
  <x:si>
    <x:t>Покупка PURCHASE_CB в ТУ Сбербанка WB*WILDBERRIES SBERPAY по карте MIR 2202207EE6261557 за 2026-06-17. Держатель ТЕРЕЩЕНКО СВЕТЛАНА СЕРГЕЕВНА. 1010 КА_176164 Чек он-лайн №488536 от 17.06.2026</x:t>
  </x:si>
  <x:si>
    <x:t>23.06.2026 №59663</x:t>
  </x:si>
  <x:si>
    <x:t>Оплата за выполнение работ по разработке программ и баз данных по договору ДС230626 от 23.06.2026. НДС не облагается.</x:t>
  </x:si>
  <x:si>
    <x:t>24.06.2026 №190823</x:t>
  </x:si>
  <x:si>
    <x:t>Плата за СберБизнес Прайм за период 25.06.2026-24.07.2026 дог. от 08.12.2024 №40702810355000147717 в размере 1890.00 руб., в т.ч. НДС</x:t>
  </x:si>
  <x:si>
    <x:t>25.06.2026 №59672</x:t>
  </x:si>
  <x:si>
    <x:t>Оплата за обработку данных (отзывы и вопросы покупателей) по сч.30694663 от 25 июня 2026 г. (самозанятый) НПД 6%. НДС не облагается.</x:t>
  </x:si>
  <x:si>
    <x:t>26.06.2026 №59675</x:t>
  </x:si>
  <x:si>
    <x:t>За услуги по организации получения информационного (отказного) письма. По сч. а260055_001 от 25.06.26. НДС не облагается.</x:t>
  </x:si>
  <x:si>
    <x:t>27.06.2026</x:t>
  </x:si>
  <x:si>
    <x:t>29.06.2026 №260392</x:t>
  </x:si>
  <x:si>
    <x:t>Комиссия за сервис Безопасный бизнес [Тариф Оптимальный] за период с 2026-06-30 по 2026-07-29, в т.ч. НДС. По договору № 20241208-33 от 2024-12-08.</x:t>
  </x:si>
  <x:si>
    <x:t>29.06.2026 №787222</x:t>
  </x:si>
  <x:si>
    <x:t>Покупка PURCHASE_CB в ТУ YANDEX*5815*PLUS по карте MIR 2202207EE6261557 за 2026-06-29. Держатель ТЕРЕЩЕНКО СВЕТЛАНА СЕРГЕЕВНА. 1110 КА_235459 Чек он-лайн №787222 от 29.06.2026</x:t>
  </x:si>
  <x:si>
    <x:t>29.06.2026 №2920932139</x:t>
  </x:si>
  <x:si>
    <x:t>29.06.2026 №2935189342</x:t>
  </x:si>
  <x:si>
    <x:t>30.06.2026 №59676</x:t>
  </x:si>
  <x:si>
    <x:t>Заработная плата за Июнь 2026 Блинова Татьяна Алексеевна
Без НДС.</x:t>
  </x:si>
  <x:si>
    <x:t>30.06.2026 №59677</x:t>
  </x:si>
  <x:si>
    <x:t>Заработная плата за Июнь 2026 Терещенко Светлана Сергеевна
Без НДС.</x:t>
  </x:si>
  <x:si>
    <x:t>30.06.2026 №59678</x:t>
  </x:si>
  <x:si>
    <x:t>Оплата за оказание бухгалтерских и юридических услуг по сч. 6 от 30.06.26 НДС не облагается.</x:t>
  </x:si>
  <x:si>
    <x:t>30.06.2026 №59679</x:t>
  </x:si>
  <x:si>
    <x:t>30.06.2026 №611776</x:t>
  </x:si>
  <x:si>
    <x:t>Покупка PURCHASE_CB в ТУ e-office24 по карте MIR 2202207EE6261557 за 2026-06-30. Держатель ТЕРЕЩЕНКО СВЕТЛАНА СЕРГЕЕВНА. 1110 КА_777262 Чек он-лайн №611776 от 30.06.2026</x:t>
  </x:si>
  <x:si>
    <x:t>30.06.2026 №17275854 от 30.06.2026</x:t>
  </x:si>
  <x:si>
    <x:t>30.06.2026</x:t>
  </x:si>
  <x:si>
    <x:t>Итого за II квартал</x:t>
  </x:si>
  <x:si>
    <x:t>Итого за полугодие</x:t>
  </x:si>
  <x:si>
    <x:t>01.07.2026 №59680</x:t>
  </x:si>
  <x:si>
    <x:t>Оплата за картриджи по сч.№ 6042 от 29.06.2026 В том числе НДС 22 % - 3015.09 рублей.</x:t>
  </x:si>
  <x:si>
    <x:t>01.07.2026 №59681</x:t>
  </x:si>
  <x:si>
    <x:t>Оплата за проверку и исправление карточек товара по сч. 30859728 от 30 июня 2026 г. (самозанятый) НПД 6% НДС не облагается.</x:t>
  </x:si>
  <x:si>
    <x:t>01.07.2026 №59682</x:t>
  </x:si>
  <x:si>
    <x:t>За услуги по комплектации и упаковке заказов по дог. 8 от 25.05.26, по сч. №30876620 от 1 июля 2026 г. (самозанятый, НПД 6%, сумма 42548) НДС не облагается.</x:t>
  </x:si>
  <x:si>
    <x:t>01.07.2026 №615323</x:t>
  </x:si>
  <x:si>
    <x:t>Оплата за тов. по дог. ИР-835824/24 от 25.12.2024 согл.сч.№№:42038685 от 08.06.26.</x:t>
  </x:si>
  <x:si>
    <x:t>02.07.2026 №59683</x:t>
  </x:si>
  <x:si>
    <x:t>Оплата за обработку данных (отзывы и вопросы покупателей) по сч.5 от 01.07.26 (самозанятый) НПД 6%. НДС не облагается.</x:t>
  </x:si>
  <x:si>
    <x:t>02.07.2026 №59684</x:t>
  </x:si>
  <x:si>
    <x:t>Оплата за картриджи по сч.№ 6088 от 02.07.2026. В том числе НДС 22 % - 1009,08 рублей.</x:t>
  </x:si>
  <x:si>
    <x:t>03.07.2026 №59685</x:t>
  </x:si>
  <x:si>
    <x:t>Оплата за картриджи по сч.№ 6102 от 03.07.2026.9,08 рублей.29,28 рублей. В том числе НДС 22 % - 190,29 рублей.</x:t>
  </x:si>
  <x:si>
    <x:t>06.07.2026 №59686</x:t>
  </x:si>
  <x:si>
    <x:t>Оплата за аренду помещения по договору аренды помещения ком. №27 33,6 кв.м. за июль. В том числе НДС 22 % - 8916.87 рублей.</x:t>
  </x:si>
  <x:si>
    <x:t>06.07.2026 №59687</x:t>
  </x:si>
  <x:si>
    <x:t>Компенсация потребляемых коммунальных услуг п.2.2.18 (Июнь
2026) по сч. 201 от 06 июля 2026. НДС не облагается.</x:t>
  </x:si>
  <x:si>
    <x:t>06.07.2026 №59688</x:t>
  </x:si>
  <x:si>
    <x:t>Оплата за картриджи по сч.№ 6120 от 06.07.2026. В том числе НДС 22 % - 2319,14 рублей.</x:t>
  </x:si>
  <x:si>
    <x:t>06.07.2026 №425142</x:t>
  </x:si>
  <x:si>
    <x:t>Оплата по договору б/н от 29.06.2026 за товар. Сумма 455051.97 RUB без НДС</x:t>
  </x:si>
  <x:si>
    <x:t>06.07.2026 №2942465440</x:t>
  </x:si>
  <x:si>
    <x:t>07.07.2026 №59689</x:t>
  </x:si>
  <x:si>
    <x:t>Авансовый платеж за картриджи. В том числе НДС 22 % - 1803.28 рублей.</x:t>
  </x:si>
  <x:si>
    <x:t>07.07.2026 №466969</x:t>
  </x:si>
  <x:si>
    <x:t>по договору ИР-835824/24 от 25.12.2024 за выкупленные товары согл.сч.№№:43638441 от 06.07.26.</x:t>
  </x:si>
  <x:si>
    <x:t>07.07.2026 №59690</x:t>
  </x:si>
  <x:si>
    <x:t>Оплата за картриджи по сч.№ 6131 от 07.07.2026.9,14 рублей.5,97 рублей. В том числе НДС 22 % - 222,60 рублей.</x:t>
  </x:si>
  <x:si>
    <x:t>08.07.2026 №562738</x:t>
  </x:si>
  <x:si>
    <x:t>Оплата за тов. по дог. ИР-835824/24 от 25.12.2024 согл.сч.№№:42437270от 15.06.26.</x:t>
  </x:si>
  <x:si>
    <x:t>08.07.2026 №59691</x:t>
  </x:si>
  <x:si>
    <x:t>Оплата за картриджи по сч.№ 6147 от 08.07.2026. В том числе НДС 22 % - 3492,89 рублей.</x:t>
  </x:si>
  <x:si>
    <x:t>09.07.2026 №59692</x:t>
  </x:si>
  <x:si>
    <x:t>Авансовый платеж за картриджи, в т.ч. по сч. НР-004550 от 14 апреля 2026 г.4.92 рублей. В том числе НДС 22 % - 1803,28 рублей.</x:t>
  </x:si>
  <x:si>
    <x:t>09.07.2026 №59693</x:t>
  </x:si>
  <x:si>
    <x:t>Оплата за картриджи по сч.№ 6157 от 09.07.2026.2,89 рублей. В том числе НДС 22 % - 477,74 рублей.</x:t>
  </x:si>
  <x:si>
    <x:t>09.07.2026 №59694</x:t>
  </x:si>
  <x:si>
    <x:t>Оплата за картриджи по KV00008320, 8381, 8466, 8487, 8621, 8687, 8743, 8819, 8966, 9038. В том числе НДС 22 % - 6886,14 рублей.</x:t>
  </x:si>
  <x:si>
    <x:t>10.07.2026 №906765</x:t>
  </x:si>
  <x:si>
    <x:t>Оплата за тов. по дог. ИР-835824/24 от 25.12.2024 согл.сч.№№:43186338от 03.07.26.</x:t>
  </x:si>
  <x:si>
    <x:t>10.07.2026 №59695</x:t>
  </x:si>
  <x:si>
    <x:t>Оплата за обработку данных (отзывы и вопросы покупателей) по сч.31407263 от 10 июля 2026 г. (самозанятый) НПД 6%. НДС не облагается.</x:t>
  </x:si>
  <x:si>
    <x:t>10.07.2026 №59696</x:t>
  </x:si>
  <x:si>
    <x:t>Оплата за картриджи по сч.№ 6173 от 10.07.2026.2,89 рублей. В том числе НДС 22 % - 189,34 рублей.</x:t>
  </x:si>
  <x:si>
    <x:t>13.07.2026 №59697</x:t>
  </x:si>
  <x:si>
    <x:t>Оплата за картриджи по счету КПДС-5956, 6095. В том числе НДС 22 % - 2722,61 рублей.</x:t>
  </x:si>
  <x:si>
    <x:t>13.07.2026 №59698</x:t>
  </x:si>
  <x:si>
    <x:t>13.07.2026 №59699</x:t>
  </x:si>
  <x:si>
    <x:t>Оплата за обработку данных (отзывы и вопросы покупателей) по сч.6 от 12.07.26 (самозанятый) НПД 6%. НДС не облагается.</x:t>
  </x:si>
  <x:si>
    <x:t>13.07.2026 №59700</x:t>
  </x:si>
  <x:si>
    <x:t>Оплата за картриджи по сч.№ 6186 от 13.07.2026. В том числе НДС 22 % - 735,65 рублей.</x:t>
  </x:si>
  <x:si>
    <x:t>14.07.2026 №435208</x:t>
  </x:si>
  <x:si>
    <x:t>ОПЛАТА ПО ДОГОВОРУ Б/Н ОТ 06.07.2026 ЗА ТОВАР. СУММА 416775.57 RUB БЕЗ НДС</x:t>
  </x:si>
  <x:si>
    <x:t>15.07.2026 №59701</x:t>
  </x:si>
  <x:si>
    <x:t>Аванс по зарплате за Июль 2026 Блинова Татьяна Алексеевна
Без НДС.</x:t>
  </x:si>
  <x:si>
    <x:t>15.07.2026 №59702</x:t>
  </x:si>
  <x:si>
    <x:t>Аванс по зарплате за Июль 2026 Терещенко Светлана Сергеевна
Без НДС.</x:t>
  </x:si>
  <x:si>
    <x:t>15.07.2026 №607953</x:t>
  </x:si>
  <x:si>
    <x:t xml:space="preserve">ОПЛАТА ЗА ТОВ. ПО ДОГ. ИР-835824/24 ОТ 25.12.2024 СОГЛ.СЧ.№№:42638762 ОТ 22.06.26. </x:t>
  </x:si>
  <x:si>
    <x:t>15.07.2026 №59703</x:t>
  </x:si>
  <x:si>
    <x:t>Оплата за картриджи по KV00009121, 9221, 9268, 9355. В том числе НДС 22 % - 7309,18 рублей.</x:t>
  </x:si>
  <x:si>
    <x:t>15.07.2026 №59704</x:t>
  </x:si>
  <x:si>
    <x:t>Оплата за картриджи по счету КПДС-6150. В том числе НДС 22 % - 742,72 рублей.</x:t>
  </x:si>
  <x:si>
    <x:t>15.07.2026 №59705</x:t>
  </x:si>
  <x:si>
    <x:t>Оплата за картриджи.66.67 рублей. В том числе НДС 20 % - 50000,00 рублей.</x:t>
  </x:si>
  <x:si>
    <x:t>15.07.2026 №59706</x:t>
  </x:si>
  <x:si>
    <x:t>Оплата за картриджи (М). В том числе НДС 22 % - 18032.79 рублей.</x:t>
  </x:si>
  <x:si>
    <x:t>15.07.2026 №59707</x:t>
  </x:si>
  <x:si>
    <x:t>Оплата за картриджи по сч.№ 6219 от 15.07.2026. В том числе НДС 22 % - 659,12 рублей.</x:t>
  </x:si>
  <x:si>
    <x:t>16.07.2026 №59708</x:t>
  </x:si>
  <x:si>
    <x:t>Оплата за проверку и исправление карточек товара по сч. 31579765 от 15 июля 2026 г. (самозанятый) НПД 6% НДС не облагается.</x:t>
  </x:si>
  <x:si>
    <x:t>16.07.2026 №59709</x:t>
  </x:si>
  <x:si>
    <x:t>За услуги по комплектации и упаковке заказов по дог. 8 от 25.05.26, по сч. №31559587 от 1 июля 2026 г. (самозанятый, НПД 6%, сумма 42548) НДС не облагается.</x:t>
  </x:si>
  <x:si>
    <x:t>16.07.2026 №59710</x:t>
  </x:si>
  <x:si>
    <x:t>Оплата за картриджи по сч.№ 6231 от 16.07.2026. В том числе НДС 22 % - 723,19 рублей.</x:t>
  </x:si>
  <x:si>
    <x:t>16.07.2026 №760950</x:t>
  </x:si>
  <x:si>
    <x:t>Комиссия за перевод средств со счета ЮЛ на счета ФЛ, открытые в ПАО Сбербанк. Без НДС. Договор РКО №40702810355000147717 от 08.12.2024</x:t>
  </x:si>
  <x:si>
    <x:t>17.07.2026 №621827</x:t>
  </x:si>
  <x:si>
    <x:t>Покупка PURCHASE_CB в ТУ Сбербанка WB*WILDBERRIES SBERPAY по карте MIR 2202207EE6261557 за 2026-07-17. Держатель ТЕРЕЩЕНКО СВЕТЛАНА СЕРГЕЕВНА. 1010 КА_365538 Чек он-лайн №621827 от 17.07.2026</x:t>
  </x:si>
  <x:si>
    <x:t>17.07.2026 №59711</x:t>
  </x:si>
  <x:si>
    <x:t>Оплата за картриджи по сч.№ 6245 от 17.07.2026. В том числе НДС 22 % - 149,58 рублей.</x:t>
  </x:si>
  <x:si>
    <x:t>20.07.2026 №642705</x:t>
  </x:si>
  <x:si>
    <x:t>ОПЛАТА ПО ДОГОВОРУ Б/Н ОТ 13.07.2026 ЗА ТОВАР. СУММА 364395.54 RUB БЕЗ НДС</x:t>
  </x:si>
  <x:si>
    <x:t>21.07.2026 №411688</x:t>
  </x:si>
  <x:si>
    <x:t>по договору ИР-835824/24 от 25.12.2024 за выкупленные товары согл.сч.№№:44106607 от 20.07.26.</x:t>
  </x:si>
  <x:si>
    <x:t>21.07.2026 №59712</x:t>
  </x:si>
  <x:si>
    <x:t>Оплата за картриджи по сч.№ 6250 от 20.07.2026.В том числе НДС 22 % - 1057,55 рублей.</x:t>
  </x:si>
  <x:si>
    <x:t>21.07.2026 №59713</x:t>
  </x:si>
  <x:si>
    <x:t>Оплата за картриджи по сч.№ 6262 от 21.07.2026. В том числе НДС 22 % - 1708,61 рублей.</x:t>
  </x:si>
  <x:si>
    <x:t>22.07.2026 №604589</x:t>
  </x:si>
  <x:si>
    <x:t>Оплата за тов. по дог. ИР-835824/24 от 25.12.2024 согл.сч.№№:42882948от 29.06.26.</x:t>
  </x:si>
  <x:si>
    <x:t>22.07.2026 №59714</x:t>
  </x:si>
  <x:si>
    <x:t>Авансовый платеж за картриджи. В том числе НДС 20 % - 1666.67 рублей.</x:t>
  </x:si>
  <x:si>
    <x:t>22.07.2026 №59715</x:t>
  </x:si>
  <x:si>
    <x:t>Авансовый платеж за картриджи. В том числе НДС 22 % - 9016.39 рублей.</x:t>
  </x:si>
  <x:si>
    <x:t>22.07.2026 №59716</x:t>
  </x:si>
  <x:si>
    <x:t>Оплата за картриджи по сч. КПД-0051560. В том числе НДС 22 % - 374,77 рублей.</x:t>
  </x:si>
  <x:si>
    <x:t>23.07.2026 №438729</x:t>
  </x:si>
  <x:si>
    <x:t>ОПЛАТА ЗА ООО ИНТЕРНЕТ РЕШЕНИЯ ИНН 7704217370 ПО РЕЕСТРУ 12503314548480 ИР-835824/24 ОТ 25.12.24, СУММА 98 499,63 БЕЗ НДС (N35)</x:t>
  </x:si>
  <x:si>
    <x:t>23.07.2026 №438730</x:t>
  </x:si>
  <x:si>
    <x:t>ОПЛАТА ЗА ООО ИНТЕРНЕТ РЕШЕНИЯ ИНН 7704217370 ПО РЕЕСТРУ 12503314548480 ИР-835824/24 ОТ 25.12.24, СУММА 161 410,76 БЕЗ НДС (N36)</x:t>
  </x:si>
  <x:si>
    <x:t>23.07.2026 №438731</x:t>
  </x:si>
  <x:si>
    <x:t>ОПЛАТА ЗА ООО ИНТЕРНЕТ РЕШЕНИЯ ИНН 7704217370 ПО РЕЕСТРУ 12503314548480 ИР-835824/24 ОТ 25.12.24, СУММА 209 053,92 БЕЗ НДС (N37)</x:t>
  </x:si>
  <x:si>
    <x:t>23.07.2026 №348825</x:t>
  </x:si>
  <x:si>
    <x:t>Оплата по контракту № ИР-835824/24 от 25.12.2024, НДС не облагается</x:t>
  </x:si>
  <x:si>
    <x:t>23.07.2026 №537665</x:t>
  </x:si>
  <x:si>
    <x:t>Оплата за ООО "ИНТЕРНЕТ РЕШЕНИЯ" ИНН 7704217370 по реестру 12503314584470, дог. ИР-835824/24 от 25.12.2024 Сумма 184758.0 без НДС</x:t>
  </x:si>
  <x:si>
    <x:t>23.07.2026 №59719</x:t>
  </x:si>
  <x:si>
    <x:t>Оплата за картриджи по сч.№ 6273 от 22.07.2026.В том числе НДС 22 % - 3510,16 рублей.</x:t>
  </x:si>
  <x:si>
    <x:t>23.07.2026 №59720</x:t>
  </x:si>
  <x:si>
    <x:t>Оплата за картриджи по сч.№ 6281 от 23.07.2026. В том числе НДС 22 % - 4131,00 рублей.</x:t>
  </x:si>
  <x:si>
    <x:t>23.07.2026 №59721</x:t>
  </x:si>
  <x:si>
    <x:t>Оплата за картриджи по KV00009439, 9509, 9590, 9647, 9785. В том числе НДС 22 % - 6917,18 рублей.</x:t>
  </x:si>
  <x:si>
    <x:t>24.07.2026 №155436</x:t>
  </x:si>
  <x:si>
    <x:t>Плата за СберБизнес Прайм за период 25.07.2026-24.08.2026 дог. от 08.12.2024 №40702810355000147717 в размере 1890.00 руб., в т.ч. НДС</x:t>
  </x:si>
  <x:si>
    <x:t>24.07.2026 №59722</x:t>
  </x:si>
  <x:si>
    <x:t>Оплата за обработку данных (отзывы и вопросы покупателей) по сч.31869437 от 24 июля 2026 г. (самозанятый) НПД 6%. НДС не облагается.</x:t>
  </x:si>
  <x:si>
    <x:t>24.07.2026 №315687</x:t>
  </x:si>
  <x:si>
    <x:t>Оплата по договору б/н от 23.07.2026 за товар. Сумма 633000 RUB без НДС</x:t>
  </x:si>
  <x:si>
    <x:t>24.07.2026 №598364</x:t>
  </x:si>
  <x:si>
    <x:t>27.07.2026</x:t>
  </x:si>
  <x:si>
    <x:t>27.07.2026 №430444</x:t>
  </x:si>
  <x:si>
    <x:t>Оплата по договору б/н от 20.07.2026 за товар. Сумма 181689.76 RUB без НДС</x:t>
  </x:si>
  <x:si>
    <x:t>27.07.2026 №59725</x:t>
  </x:si>
  <x:si>
    <x:t>Оплата за картриджи по сч.№ 6308 от 27.07.2026.7,55 рублей. В том числе НДС 22 % - 655,79 рублей.</x:t>
  </x:si>
  <x:si>
    <x:t>28.07.2026 №59726</x:t>
  </x:si>
  <x:si>
    <x:t>28.07.2026 №59727</x:t>
  </x:si>
  <x:si>
    <x:t>Оплата за картриджи по сч.6326 от 28.07.26. В том числе НДС 22 % - 174,56 рублей.</x:t>
  </x:si>
  <x:si>
    <x:t>28.07.2026 №2961399649</x:t>
  </x:si>
  <x:si>
    <x:t>28.07.2026 №2961931756</x:t>
  </x:si>
  <x:si>
    <x:t>29.07.2026 №818230</x:t>
  </x:si>
  <x:si>
    <x:t>Комиссия за сервис Безопасный бизнес [Тариф Оптимальный] за период с 2026-07-30 по 2026-08-29, в т.ч. НДС. По договору № 20241208-33 от 2024-12-08.</x:t>
  </x:si>
  <x:si>
    <x:t>29.07.2026 №268145</x:t>
  </x:si>
  <x:si>
    <x:t>Покупка PURCHASE_CB в ТУ Сбербанка YANDEX*5815*PLUS по карте MIR 2202207EE6261557 за 2026-07-29. Держатель ТЕРЕЩЕНКО СВЕТЛАНА СЕРГЕЕВНА. 1010 КА_620889 Чек он-лайн №268145 от 29.07.2026</x:t>
  </x:si>
  <x:si>
    <x:t>29.07.2026 №59728</x:t>
  </x:si>
  <x:si>
    <x:t>Оплата за картриджи по сч. 6336 от 29.07.2026. В том числе НДС 22 % - 1259,51 рублей.</x:t>
  </x:si>
  <x:si>
    <x:t>30.07.2026 №678966</x:t>
  </x:si>
  <x:si>
    <x:t>Уплачены проценты с 24.07.2026 по 30.07.2026 по счету №40702810355000147717 в рамках договора банковского счета и сделки № 9055456330 от 23.07.2026</x:t>
  </x:si>
  <x:si>
    <x:t>31.07.2026 №59729</x:t>
  </x:si>
  <x:si>
    <x:t>Заработная плата за Июль, отпускные за август 2026 Блинова Татьяна Алексеевна
Без НДС.</x:t>
  </x:si>
  <x:si>
    <x:t>31.07.2026 №59730</x:t>
  </x:si>
  <x:si>
    <x:t>Заработная плата за Июль 2026 Терещенко Светлана Сергеевна
Без НДС.</x:t>
  </x:si>
  <x:si>
    <x:t>31.07.2026 №59731</x:t>
  </x:si>
  <x:si>
    <x:t>Оплата за оказание бухгалтерских и юридических услуг по сч. 9 от 31.07.26 НДС не облагается.</x:t>
  </x:si>
  <x:si>
    <x:t>31.07.2026 №59732</x:t>
  </x:si>
  <x:si>
    <x:t>Оплата за картриджи по сч. 6344 от 30.07.2026.9,51 рублей.6,05 рублей. В том числе НДС 22 % - 287,60 рублей.</x:t>
  </x:si>
  <x:si>
    <x:t>31.07.2026 №59733</x:t>
  </x:si>
  <x:si>
    <x:t>Оплата за картриджи по сч. КТ-00097, 100, 107, 113. В том числе НДС 20 % - 1782,17 рублей.</x:t>
  </x:si>
  <x:si>
    <x:t>03.08.2026 №326552</x:t>
  </x:si>
  <x:si>
    <x:t>Покупка PURCHASE_CB в ТУ shop.cargo-avto.ru по карте MIR 2202207EE6261557 за 2026-08-03. Держатель ТЕРЕЩЕНКО СВЕТЛАНА СЕРГЕЕВНА. 1110 КА_404062 Чек он-лайн №326552 от 03.08.2026</x:t>
  </x:si>
  <x:si>
    <x:t>03.08.2026 №59735</x:t>
  </x:si>
  <x:si>
    <x:t>Оплата за картриджи по KV00009937, 9925, 10001, 10084, 10172, 10240. В том числе НДС 22 % - 6711,19 рублей.</x:t>
  </x:si>
  <x:si>
    <x:t>03.08.2026 №59739</x:t>
  </x:si>
  <x:si>
    <x:t>Авансовый платеж за картриджи. В т.ч. НДС 22% - 9016.39 руб.</x:t>
  </x:si>
  <x:si>
    <x:t>03.08.2026 №59740</x:t>
  </x:si>
  <x:si>
    <x:t>За услуги по комплектации и упаковке заказов по дог. 8 от 25.05.26, по сч. №32112645 от 31 июля 2026 г. (самозанятый, НПД 6%, сумма 42548) НДС не облагается.</x:t>
  </x:si>
  <x:si>
    <x:t>03.08.2026 №59741</x:t>
  </x:si>
  <x:si>
    <x:t>Оплата за проверку и исправление карточек товара по сч. 32112645 от 31 июля 2026 г. (самозанятый) НПД 6% НДС не облагается.</x:t>
  </x:si>
  <x:si>
    <x:t>03.08.2026 №59742</x:t>
  </x:si>
  <x:si>
    <x:t>Оплата за аренду помещения по договору аренды помещения ком. №27 33,6 кв.м. за август. В том числе НДС 22 % - 8916.87 рублей.</x:t>
  </x:si>
  <x:si>
    <x:t>04.08.2026 №59743</x:t>
  </x:si>
  <x:si>
    <x:t>Предоплата по счёту № 6384 от 04.08.2026. В т.ч. НДС 22% - 1476.28 руб.</x:t>
  </x:si>
  <x:si>
    <x:t>05.08.2026 №59744</x:t>
  </x:si>
  <x:si>
    <x:t>Платеж за картриджи по сч. НР-011234 от 05.08.26. В том числе НДС 22 % - 1079,19 рублей.</x:t>
  </x:si>
  <x:si>
    <x:t>05.08.2026 №59745</x:t>
  </x:si>
  <x:si>
    <x:t>Предоплата по счёту № 6395 от 05.08.2026. В т.ч. НДС 22% - 3072.96 руб.</x:t>
  </x:si>
  <x:si>
    <x:t>05.08.2026 №2973701906</x:t>
  </x:si>
  <x:si>
    <x:t>06.08.2026 №59746</x:t>
  </x:si>
  <x:si>
    <x:t>Оплата по счетам № ОД00004540, ОД00004562, ОД00004753, ОД00004590, ОД00004623, ОД00004661, ОД00004683, ОД00004707, ОД00004710, ОД00004724, ОД00004746. В т.ч. НДС 22% - 12170.89 руб.</x:t>
  </x:si>
  <x:si>
    <x:t>06.08.2026 №59747</x:t>
  </x:si>
  <x:si>
    <x:t>Предоплата по счёту № НР-010801 от 30.07.2026. В т.ч. НДС 22% - 302.60 руб.</x:t>
  </x:si>
  <x:si>
    <x:t>07.08.2026 №59748</x:t>
  </x:si>
  <x:si>
    <x:t>Оплата по счетам № KV00010314 от 02.08.2026, № KV00010367 от 03.08.2026, № KV00010454 от 04.08.2026, № KV00010514 от 05.08.2026. В т.ч. НДС 22% - 2454.82 руб.</x:t>
  </x:si>
  <x:si>
    <x:t>07.08.2026 №59749</x:t>
  </x:si>
  <x:si>
    <x:t>Доплата за картриджи по сч. КТ-000154. НДС не облагается.</x:t>
  </x:si>
  <x:si>
    <x:t>07.08.2026 №296529</x:t>
  </x:si>
  <x:si>
    <x:t>Уплачены проценты с 01.08.2026 по 07.08.2026 по счету №40702810355000147717 в рамках договора банковского счета и сделки № 9055700812 от 31.07.2026</x:t>
  </x:si>
  <x:si>
    <x:t>10.08.2026 №59737</x:t>
  </x:si>
  <x:si>
    <x:t>Авансовый платеж за картриджи. В т.ч. НДС 22% - 4508.20 руб.</x:t>
  </x:si>
  <x:si>
    <x:t>10.08.2026 №59738</x:t>
  </x:si>
  <x:si>
    <x:t>10.08.2026 №59750</x:t>
  </x:si>
  <x:si>
    <x:t>Предоплата по счёту № 6420 от 10.08.2026. В т.ч. НДС 22% - 3262.97 руб.</x:t>
  </x:si>
  <x:si>
    <x:t>11.08.2026 №59752</x:t>
  </x:si>
  <x:si>
    <x:t>Оплата за обработку данных (отзывы и вопросы покупателей) по сч.32501168 от 11 августа 2026 г. (самозанятый) НПД 6%. НДС не облагается.</x:t>
  </x:si>
  <x:si>
    <x:t>11.08.2026 №59751</x:t>
  </x:si>
  <x:si>
    <x:t>Оплата по счетам № KV00010587 от 06.08.2026, № KV00010657 от 07.08.2026, № KV00010670 от 09.08.2026. В т.ч. НДС 22% - 3086.19 руб.</x:t>
  </x:si>
  <x:si>
    <x:t>11.08.2026 №59754</x:t>
  </x:si>
  <x:si>
    <x:t>Предоплата по счёту № 6435 от 11.08.2026. В т.ч. НДС 22% - 954.19 руб.</x:t>
  </x:si>
  <x:si>
    <x:t>12.08.2026 №59753</x:t>
  </x:si>
  <x:si>
    <x:t>Компенсация потребляемых коммунальных услуг п.2.2.18 (Июль 2026) по сч. 229 от 05 августа 2026. НДС не облагается.</x:t>
  </x:si>
  <x:si>
    <x:t>12.08.2026 №59755</x:t>
  </x:si>
  <x:si>
    <x:t>Предоплата по счёту № 6446 от 12.08.2026. В т.ч. НДС 22% - 169.79 руб.</x:t>
  </x:si>
  <x:si>
    <x:t>13.08.2026 №59756</x:t>
  </x:si>
  <x:si>
    <x:t>Оплата по счетам № 327449/И, 327535/И, 327880/И, 327874/И, 327982/И, 328221/И, 328312/И. В т.ч. НДС 22% - 4976.33 руб.</x:t>
  </x:si>
  <x:si>
    <x:t>13.08.2026 №724006</x:t>
  </x:si>
  <x:si>
    <x:t>ОПЛАТА ПО ДОГОВОРУ Б/Н ОТ 03.08.2026 ЗА ТОВАР. СУММА 21498.73 RUB В Т.Ч. НДС</x:t>
  </x:si>
  <x:si>
    <x:t>13.08.2026 №59757</x:t>
  </x:si>
  <x:si>
    <x:t>Предоплата по счёту № 6458 от 13.08.2026. В т.ч. НДС 22% - 362.97 руб.</x:t>
  </x:si>
  <x:si>
    <x:t>14.08.2026 №59759</x:t>
  </x:si>
  <x:si>
    <x:t>Аванс по зарплате за Август 2026 Терещенко Светлана Сергеевна
Без НДС.</x:t>
  </x:si>
  <x:si>
    <x:t>14.08.2026 №59760</x:t>
  </x:si>
  <x:si>
    <x:t>14.08.2026 №59758</x:t>
  </x:si>
  <x:si>
    <x:t>Аванс по зарплате за Август 2026 Блинова Татьяна Алексеевна
Без НДС.</x:t>
  </x:si>
  <x:si>
    <x:t>14.08.2026 №59761</x:t>
  </x:si>
  <x:si>
    <x:t>За услуги по комплектации и упаковке заказов по дог. 8 от 25.05.26, по сч. №32620964 от 14 августа 2026 г. (самозанятый, НПД 6%, сумма 46740) НДС не облагается.</x:t>
  </x:si>
  <x:si>
    <x:t>16.08.2026 №760986</x:t>
  </x:si>
  <x:si>
    <x:t>Покупка PURCHASE_CB в ТУ Сбербанка WB*WILDBERRIES SBERPAY по карте MIR 2202207EE6261557 за 2026-08-16. Держатель ТЕРЕЩЕНКО СВЕТЛАНА СЕРГЕЕВНА. 1010 КА_585702 Чек он-лайн №760986 от 16.08.2026</x:t>
  </x:si>
  <x:si>
    <x:t>16.08.2026 №59762</x:t>
  </x:si>
  <x:si>
    <x:t>Оплата по счетам № KV00010731 от 10.08.2026, № KV00010812 от 11.08.2026, № KV00010954 от 13.08.2026. В т.ч. НДС 22% - 6648.94 руб.</x:t>
  </x:si>
  <x:si>
    <x:t>17.08.2026 №572655</x:t>
  </x:si>
  <x:si>
    <x:t>Уплачены проценты с 11.08.2026 по 17.08.2026 по счету №40702810355000147717 в рамках договора банковского счета и сделки № 9055938358 от 10.08.2026</x:t>
  </x:si>
  <x:si>
    <x:t>17.08.2026 №59765</x:t>
  </x:si>
  <x:si>
    <x:t>Предоплата по счёту № 6488 от 17.08.2026. В т.ч. НДС 22% - 680.45 руб.</x:t>
  </x:si>
  <x:si>
    <x:t>17.08.2026 №59764</x:t>
  </x:si>
  <x:si>
    <x:t>Предоплата по счёту № НР-012173 от 17.08.2026. В т.ч. НДС 22% - 587.32 руб.</x:t>
  </x:si>
  <x:si>
    <x:t>18.08.2026 №59766</x:t>
  </x:si>
  <x:si>
    <x:t>Предоплата по счёту № 6494 от 18.08.2026. В т.ч. НДС 22% - 177.62 руб.</x:t>
  </x:si>
  <x:si>
    <x:t>19.08.2026 №59768</x:t>
  </x:si>
  <x:si>
    <x:t>Оплата по счетам № ОД00004764, ОД00004790, ОД00004812, ОД00004828, ОД00004854, ОД00004874, ОД00004891, ОД00004914, ОД00004923, ОД00004944. В т.ч. НДС 22% - 13477.37 руб.</x:t>
  </x:si>
  <x:si>
    <x:t>19.08.2026 №59767</x:t>
  </x:si>
  <x:si>
    <x:t>Оплата по счетам № KV00011015 от 14.08.2026, № KV00011025 от 16.08.2026, № KV00011070 от 17.08.2026. В т.ч. НДС 22% - 1447.01 руб.</x:t>
  </x:si>
  <x:si>
    <x:t>20.08.2026 №896152</x:t>
  </x:si>
  <x:si>
    <x:t>ОПЛАТА ПО ДОГОВОРУ Б/Н ОТ 10.08.2026 ЗА ТОВАР. СУММА 50632.57 RUB В Т.Ч. НДС</x:t>
  </x:si>
  <x:si>
    <x:t>24.08.2026 №538288</x:t>
  </x:si>
  <x:si>
    <x:t>Плата за СберБизнес Прайм за период 25.08.2026-24.09.2026 дог. от 08.12.2024 №40702810355000147717 в размере 1890.00 руб., в т.ч. НДС</x:t>
  </x:si>
  <x:si>
    <x:t>24.08.2026 №788720</x:t>
  </x:si>
  <x:si>
    <x:t>Уплачены проценты с 18.08.2026 по 24.08.2026 по счету №40702810355000147717 в рамках договора банковского счета и сделки № 9055116306 от 17.08.2026</x:t>
  </x:si>
  <x:si>
    <x:t>24.08.2026 №59763</x:t>
  </x:si>
  <x:si>
    <x:t>Оплата по счетам № КТ-000122 от 12.08.2026. Без НДС.</x:t>
  </x:si>
  <x:si>
    <x:t>24.08.2026 №59769</x:t>
  </x:si>
  <x:si>
    <x:t>Оплата по счетам № KV00011144 от 18.08.2026, № KV00011206 от 19.08.2026. В т.ч. НДС 22% - 1971.59 руб.</x:t>
  </x:si>
  <x:si>
    <x:t>24.08.2026 №59770</x:t>
  </x:si>
  <x:si>
    <x:t>Предоплата по счёту № 6535-Кактус от 24.08.2026. В т.ч. НДС 22% - 201.84 руб.</x:t>
  </x:si>
  <x:si>
    <x:t>25.08.2026 №59771</x:t>
  </x:si>
  <x:si>
    <x:t>Предоплата по счёту № 6544 от 25.08.2026. В т.ч. НДС 22% - 482.42 руб.</x:t>
  </x:si>
  <x:si>
    <x:t>26.08.2026 №59772</x:t>
  </x:si>
  <x:si>
    <x:t>Оплата по счетам № KV00011334 от 21.08.2026. В т.ч. НДС 22% - 464.47 руб.</x:t>
  </x:si>
  <x:si>
    <x:t>26.08.2026 №59773</x:t>
  </x:si>
  <x:si>
    <x:t>Предоплата по счёту № 6557 от 26.08.2026. В т.ч. НДС 22% - 222.94 руб.</x:t>
  </x:si>
  <x:si>
    <x:t>27.08.2026 №59774</x:t>
  </x:si>
  <x:si>
    <x:t>Оплата по счетам № 328522/И от 13.08.2026, № 328621/И от 14.08.2026, № 328781/И от 17.08.2026, № 328898/И от 18.08.2026, № 329100/И от 20.08.2026, № 329185/И от 21.08.2026. В т.ч. НДС 22% - 4399.46 руб.</x:t>
  </x:si>
  <x:si>
    <x:t>27.08.2026 №59775</x:t>
  </x:si>
  <x:si>
    <x:t>Оплата за обработку данных (отзывы и вопросы покупателей) по сч.33019275 от 27 августа 2026 г. (самозанятый) НПД 6%. НДС не облагается.</x:t>
  </x:si>
  <x:si>
    <x:t>28.08.2026 №602671</x:t>
  </x:si>
  <x:si>
    <x:t>Покупка PURCHASE_CB в ТУ Сбербанка YANDEX*5815*PLUS по карте MIR 2202207EE6261557 за 2026-08-28. Держатель ТЕРЕЩЕНКО СВЕТЛАНА СЕРГЕЕВНА. 1010 КА_726579 Чек он-лайн №602671 от 28.08.2026</x:t>
  </x:si>
  <x:si>
    <x:t>28.08.2026 №2982015212</x:t>
  </x:si>
  <x:si>
    <x:t>28.08.2026 №2989693925</x:t>
  </x:si>
  <x:si>
    <x:t>31.08.2026 №59777</x:t>
  </x:si>
  <x:si>
    <x:t>Оплата по счетам № TC125524 от 26.08.2026. В т.ч. НДС 22% - 531.46 руб.</x:t>
  </x:si>
  <x:si>
    <x:t>Заработная плата за Август 2026 Блинова Татьяна Алексеевна
Без НДС.</x:t>
  </x:si>
  <x:si>
    <x:t>31.08.2026 №59778</x:t>
  </x:si>
  <x:si>
    <x:t>Оплата по счетам № KV00011463 от 25.08.2026, № KV00011545 от 26.08.2026. В т.ч. НДС 22% - 700.55 руб.</x:t>
  </x:si>
  <x:si>
    <x:t>31.08.2026 №59779</x:t>
  </x:si>
  <x:si>
    <x:t>Оплата по счетам № КТ-000126 от 27.08.2026. Без НДС.</x:t>
  </x:si>
  <x:si>
    <x:t>Заработная плата за Август 2026 Терещенко Светлана Сергеевна
Без НДС.</x:t>
  </x:si>
  <x:si>
    <x:t>31.08.2026 №28259</x:t>
  </x:si>
  <x:si>
    <x:t>Уплачены проценты с 25.08.2026 по 31.08.2026 по счету №40702810355000147717 в рамках договора банковского счета и сделки № 9055308137 от 24.08.2026</x:t>
  </x:si>
  <x:si>
    <x:t>31.08.2026 №59780</x:t>
  </x:si>
  <x:si>
    <x:t>Оплата за оказание бухгалтерских и юридических услуг по сч. 12 от 31.08.26 НДС не облагается.</x:t>
  </x:si>
  <x:si>
    <x:t>31.08.2026 №59781</x:t>
  </x:si>
  <x:si>
    <x:t>Предоплата по счёту № 6598 от 31.08.2026. В т.ч. НДС 22% - 507.90 руб.</x:t>
  </x:si>
  <x:si>
    <x:t>01.09.2026 №59783</x:t>
  </x:si>
  <x:si>
    <x:t>Оплата по счетам № ОД00004983, ОД00005010, ОД00005055, ОД00005079, ОД00005283, ОД00005114, ОД00005139, ОД00005176, ОД00005204, ОД00005237, ОД00005243, ОД00005242. В т.ч. НДС 22% - 24168.90 руб.</x:t>
  </x:si>
  <x:si>
    <x:t>01.09.2026 №59782</x:t>
  </x:si>
  <x:si>
    <x:t>Оплата по счетам № KV00011598 от 27.08.2026, № KV00011662 от 30.08.2026. В т.ч. НДС 22% - 1383.02 руб.</x:t>
  </x:si>
  <x:si>
    <x:t>01.09.2026 №59784</x:t>
  </x:si>
  <x:si>
    <x:t>За услуги по комплектации и упаковке заказов по дог. 8 от 25.05.26, по сч. №33136934 от 31 августа 2026 г. (самозанятый, НПД 6%, сумма 47872) НДС не облагается.</x:t>
  </x:si>
  <x:si>
    <x:t>01.09.2026 №59785</x:t>
  </x:si>
  <x:si>
    <x:t>Предоплата по счёту № НР-013560 от 01.09.2026. В т.ч. НДС 22% - 104.02 руб.</x:t>
  </x:si>
  <x:si>
    <x:t>01.09.2026 №59786</x:t>
  </x:si>
  <x:si>
    <x:t>Предоплата по счёту № 6613 от 01.09.2026. В т.ч. НДС 22% - 1918.16 руб.</x:t>
  </x:si>
  <x:si>
    <x:t>02.09.2026 №59787</x:t>
  </x:si>
  <x:si>
    <x:t>Оплата по счетам № TC125585 от 28.08.2026, № TC125633 от 31.08.2026. В т.ч. НДС 22% - 3144.30 руб.</x:t>
  </x:si>
  <x:si>
    <x:t>02.09.2026 №951185</x:t>
  </x:si>
  <x:si>
    <x:t>Покупка PURCHASE_CB в ТУ shop.cargo-avto.ru по карте MIR 2202207EE6261557 за 2026-09-02. Держатель ТЕРЕЩЕНКО СВЕТЛАНА СЕРГЕЕВНА. 1110 КА_608647 Чек он-лайн №951185 от 02.09.2026</x:t>
  </x:si>
  <x:si>
    <x:t>02.09.2026 №59788</x:t>
  </x:si>
  <x:si>
    <x:t>Предоплата по счёту № 6628-Кактус от 02.09.2026. В т.ч. НДС 22% - 50.64 руб.</x:t>
  </x:si>
  <x:si>
    <x:t>03.09.2026 №159435</x:t>
  </x:si>
  <x:si>
    <x:t>ОПЛАТА ПО ДОГОВОРУ Б/Н ОТ 17.08.2026 ЗА ТОВАР. СУММА 201798.22 RUB В Т.Ч. НДС</x:t>
  </x:si>
  <x:si>
    <x:t>03.09.2026 №59789</x:t>
  </x:si>
  <x:si>
    <x:t>Предоплата по счёту № 6649 от 03.09.2026. В т.ч. НДС 22% - 568.57 руб.</x:t>
  </x:si>
  <x:si>
    <x:t>04.09.2026 №59790</x:t>
  </x:si>
  <x:si>
    <x:t>Оплата по счетам № TC125669 от 01.09.2026. В т.ч. НДС 22% - 287.87 руб.</x:t>
  </x:si>
  <x:si>
    <x:t>04.09.2026 №59791</x:t>
  </x:si>
  <x:si>
    <x:t>Оплата по счетам № КТ-000129 от 31.08.2026. Без НДС.</x:t>
  </x:si>
  <x:si>
    <x:t>04.09.2026 №59792</x:t>
  </x:si>
  <x:si>
    <x:t>Оплата за аренду помещения по договору аренды помещения ком. №27 33,6 кв.м. за сентябрь. В том числе НДС 22 % - 8916.87 рублей.</x:t>
  </x:si>
  <x:si>
    <x:t>04.09.2026 №59793</x:t>
  </x:si>
  <x:si>
    <x:t>Предоплата по счёту № НР-014061 от 04.09.2026. В т.ч. НДС 22% - 1190.42 руб.</x:t>
  </x:si>
  <x:si>
    <x:t>04.09.2026 №59794</x:t>
  </x:si>
  <x:si>
    <x:t>Предоплата по счёту № 6667 от 04.09.2026. В т.ч. НДС 22% - 1742.89 руб.</x:t>
  </x:si>
  <x:si>
    <x:t>07.09.2026 №59796</x:t>
  </x:si>
  <x:si>
    <x:t>Оплата по счетам № KV00011717 от 31.08.2026, № KV00011853 от 02.09.2026, № KV00011923 от 03.09.2026. В т.ч. НДС 22% - 2530.47 руб.</x:t>
  </x:si>
  <x:si>
    <x:t>07.09.2026 №59798</x:t>
  </x:si>
  <x:si>
    <x:t>07.09.2026 №59797</x:t>
  </x:si>
  <x:si>
    <x:t>Предоплата по счёту № 6677 от 07.09.2026. В т.ч. НДС 22% - 125.63 руб.</x:t>
  </x:si>
  <x:si>
    <x:t>08.09.2026 №337526</x:t>
  </x:si>
  <x:si>
    <x:t>ОПЛАТА ПО ДОГОВОРУ Б/Н ОТ 24.08.2026 ЗА ТОВАР. СУММА 135580.1 RUB В Т.Ч. НДС</x:t>
  </x:si>
  <x:si>
    <x:t>08.09.2026 №59799</x:t>
  </x:si>
  <x:si>
    <x:t>Предоплата по счёту № 6695 от 08.09.2026. В т.ч. НДС 22% - 2019.63 руб.</x:t>
  </x:si>
  <x:si>
    <x:t>09.09.2026 №687110</x:t>
  </x:si>
  <x:si>
    <x:t>Уплачены проценты с 03.09.2026 по 09.09.2026 по счету №40702810355000147717 в рамках договора банковского счета и сделки № 9055584747 от 02.09.2026</x:t>
  </x:si>
  <x:si>
    <x:t>09.09.2026 №59801</x:t>
  </x:si>
  <x:si>
    <x:t>09.09.2026 №59802</x:t>
  </x:si>
  <x:si>
    <x:t>Компенсация потребляемых коммунальных услуг п.2.2.18 (Август 2026) по сч. 255 от 07 сентября 2026. НДС не облагается.</x:t>
  </x:si>
  <x:si>
    <x:t>09.09.2026 №59800</x:t>
  </x:si>
  <x:si>
    <x:t>Оплата по счетам № KV00012009 от 04.09.2026, № KV00012082 от 07.09.2026. В т.ч. НДС 22% - 2927.44 руб.</x:t>
  </x:si>
  <x:si>
    <x:t>09.09.2026 №59803</x:t>
  </x:si>
  <x:si>
    <x:t>Предоплата по счёту № НР-014559 от 09.09.2026. В т.ч. НДС 22% - 547.70 руб.</x:t>
  </x:si>
  <x:si>
    <x:t>10.09.2026 №59804</x:t>
  </x:si>
  <x:si>
    <x:t>Оплата по счетам № КТ-000132 от 04.09.2026. Без НДС.</x:t>
  </x:si>
  <x:si>
    <x:t>10.09.2026 №59805</x:t>
  </x:si>
  <x:si>
    <x:t>Оплата за обработку данных (отзывы и вопросы покупателей) по сч.33557450 от 10 сентября 2026 г. (самозанятый) НПД 6%. НДС не облагается.</x:t>
  </x:si>
  <x:si>
    <x:t>10.09.2026 №59807</x:t>
  </x:si>
  <x:si>
    <x:t>Предоплата по счёту № 6717 от 10.09.2026. В т.ч. НДС 22% - 842.83 руб.</x:t>
  </x:si>
  <x:si>
    <x:t>10.09.2026 №59806</x:t>
  </x:si>
  <x:si>
    <x:t>Предоплата по счёту № 6713-Кактус от 09.09.2026. В т.ч. НДС 22% - 359.74 руб.</x:t>
  </x:si>
  <x:si>
    <x:t>11.09.2026 №59808</x:t>
  </x:si>
  <x:si>
    <x:t>Оплата по счетам № 329826/И от 28.08.2026, № 330029/И от 31.08.2026, № 330334/И от 02.09.2026, № 330603/И от 04.09.2026, № 330858/И от 07.09.2026, № 331034/И от 08.09.2026. В т.ч. НДС 22% - 3142.93 руб.</x:t>
  </x:si>
  <x:si>
    <x:t>11.09.2026 №59809</x:t>
  </x:si>
  <x:si>
    <x:t>Предоплата по счёту № 6727 от 11.09.2026. В т.ч. НДС 22% - 701.80 руб.</x:t>
  </x:si>
  <x:si>
    <x:t>13.09.2026 №59811</x:t>
  </x:si>
  <x:si>
    <x:t>Оплата по счетам № KV00012144 от 08.09.2026, № KV00012204 от 09.09.2026, № KV00012279 от 10.09.2026. В т.ч. НДС 22% - 3029.33 руб.</x:t>
  </x:si>
  <x:si>
    <x:t>13.09.2026 №59810</x:t>
  </x:si>
  <x:si>
    <x:t>14.09.2026 №861435</x:t>
  </x:si>
  <x:si>
    <x:t>Покупка PURCHASE_CB в ТУ Сбербанка PF SKB KONTUR по карте MIR 2202207EE6261557 за 2026-09-14. Держатель ТЕРЕЩЕНКО СВЕТЛАНА СЕРГЕЕВНА. 1010 КА_396961 Чек он-лайн №861435 от 14.09.2026</x:t>
  </x:si>
  <x:si>
    <x:t>14.09.2026 №59813</x:t>
  </x:si>
  <x:si>
    <x:t>Предоплата по счёту № 6739-Кактус от 14.09.2026. В т.ч. НДС 22% - 475.98 руб.</x:t>
  </x:si>
  <x:si>
    <x:t>15.09.2026 №59815</x:t>
  </x:si>
  <x:si>
    <x:t>Аванс по зарплате за сентябрь 2026 Блинова Татьяна Алексеевна
Без НДС.</x:t>
  </x:si>
  <x:si>
    <x:t>15.09.2026 №59814</x:t>
  </x:si>
  <x:si>
    <x:t>Аванс по зарплате за сентябрь 2026 Терещенко Светлана Сергеевна
Без НДС.</x:t>
  </x:si>
  <x:si>
    <x:t>15.09.2026 №59816</x:t>
  </x:si>
  <x:si>
    <x:t>Стр. взносы на ОСС от несчастных сл. на производстве и проф. заболеваний, за июль-август 2026 г.
Без НДС.</x:t>
  </x:si>
  <x:si>
    <x:t>15.09.2026 №3004088005</x:t>
  </x:si>
  <x:si>
    <x:t>16.09.2026 №59818</x:t>
  </x:si>
  <x:si>
    <x:t>За услуги по комплектации и упаковке заказов по дог. 8 от 25.05.26, по сч. №33695585 от 15 сентября 2026 г. (самозанятый, НПД 6%, сумма 47872) НДС не облагается.</x:t>
  </x:si>
  <x:si>
    <x:t>16.09.2026 №59817</x:t>
  </x:si>
  <x:si>
    <x:t>16.09.2026 №59819</x:t>
  </x:si>
  <x:si>
    <x:t>Предоплата по счёту № 6767 от 16.09.2026. В т.ч. НДС 22% - 562.61 руб.</x:t>
  </x:si>
  <x:si>
    <x:t>16.09.2026 №59812</x:t>
  </x:si>
  <x:si>
    <x:t>Оплата по счетам № ОД00005271, ОД00005307, ОД00005302, ОД00005337, ОД00005371, ОД00005394, ОД00005406, ОД00005427, ОД00005462, ОД00005493, ОД00005525. В т.ч. НДС 22% - 35808.20 руб.</x:t>
  </x:si>
  <x:si>
    <x:t>17.09.2026 №720679</x:t>
  </x:si>
  <x:si>
    <x:t xml:space="preserve">ОПЛАТА ПО ДОГОВОРУ Б/Н ОТ 31.08.2026 ЗА ТОВАР. СУММА 99041.33 RUB В Т.Ч. НДС </x:t>
  </x:si>
  <x:si>
    <x:t>18.09.2026 №8572</x:t>
  </x:si>
  <x:si>
    <x:t>Уплачены проценты с 12.09.2026 по 18.09.2026 по счету №40702810355000147717 в рамках договора банковского счета и сделки № 9055879573 от 11.09.2026</x:t>
  </x:si>
  <x:si>
    <x:t>18.09.2026 №59821</x:t>
  </x:si>
  <x:si>
    <x:t>Оплата по счетам № KV00012363 от 13.09.2026, № KV00012408 от 14.09.2026, № KV00012492 от 15.09.2026, № KV00012601 от 16.09.2026. В т.ч. НДС 22% - 3126.03 руб.</x:t>
  </x:si>
  <x:si>
    <x:t>18.09.2026 №59820</x:t>
  </x:si>
  <x:si>
    <x:t>Предоплата по счёту № 6777 от 17.09.2026. В т.ч. НДС 22% - 1027.52 руб.</x:t>
  </x:si>
  <x:si>
    <x:t>18.09.2026 №59822</x:t>
  </x:si>
  <x:si>
    <x:t>Предоплата по счёту № 6796-Кактус от 18.09.2026. В т.ч. НДС 22% - 1359.71 руб.</x:t>
  </x:si>
  <x:si>
    <x:t>21.09.2026 №59823</x:t>
  </x:si>
  <x:si>
    <x:t>21.09.2026 №59824</x:t>
  </x:si>
  <x:si>
    <x:t>Предоплата по счёту № 6809-Кактус от 21.09.2026. В т.ч. НДС 22% - 1709.53 руб.</x:t>
  </x:si>
  <x:si>
    <x:t>23.09.2026 №59828</x:t>
  </x:si>
  <x:si>
    <x:t>23.09.2026 №59825</x:t>
  </x:si>
  <x:si>
    <x:t>Оплата по счетам № KV00012666 от 17.09.2026, № KV00012732 от 18.09.2026, № KV00012758 от 20.09.2026. В т.ч. НДС 22% - 5269.96 руб.</x:t>
  </x:si>
  <x:si>
    <x:t>23.09.2026 №59827</x:t>
  </x:si>
  <x:si>
    <x:t>Предоплата по счёту № 6823 от 22.09.2026. В т.ч. НДС 22% - 1554.31 руб.</x:t>
  </x:si>
  <x:si>
    <x:t>23.09.2026 №59826</x:t>
  </x:si>
  <x:si>
    <x:t>Предоплата по счёту № НР-015965 от 22.09.2026. В т.ч. НДС 22% - 81.68 руб.</x:t>
  </x:si>
  <x:si>
    <x:t>23.09.2026 №59829</x:t>
  </x:si>
  <x:si>
    <x:t>Предоплата по счёту № 6836 от 23.09.2026. В т.ч. НДС 22% - 597.69 руб.</x:t>
  </x:si>
  <x:si>
    <x:t>24.09.2026 №20036</x:t>
  </x:si>
  <x:si>
    <x:t>Плата за СберБизнес Прайм за период 25.09.2026-24.10.2026 дог. от 08.12.2024 №40702810355000147717 в размере 1890.00 руб., в т.ч. НДС</x:t>
  </x:si>
  <x:si>
    <x:t>24.09.2026 №59830</x:t>
  </x:si>
  <x:si>
    <x:t>Оплата по счетам № 331342/И, 331781/И, 331987/И, 332182/И, 332360/И, 332518/И, 332850/И, 333195/И. В т.ч. НДС 22% - 4588.08 руб.</x:t>
  </x:si>
  <x:si>
    <x:t>24.09.2026 №581693</x:t>
  </x:si>
  <x:si>
    <x:t>ОПЛАТА ПО ДОГОВОРУ Б/Н ОТ 14.09.2026 ЗА ТОВАР. СУММА 179306.54 RUB В Т.Ч. НДС</x:t>
  </x:si>
  <x:si>
    <x:t>24.09.2026 №59831</x:t>
  </x:si>
  <x:si>
    <x:t>Предоплата по счёту № 6854-Кактус от 24.09.2026. В т.ч. НДС 22% - 7286.98 руб.</x:t>
  </x:si>
  <x:si>
    <x:t>24.09.2026 №951843</x:t>
  </x:si>
  <x:si>
    <x:t>Комиссия в другие банки (кредитные организации, Банк России) за ПП/ПТ через ДБО. Без НДС. Договор РКО №40702810355000147717 от 08.12.2024</x:t>
  </x:si>
  <x:si>
    <x:t>25.09.2026 №59836</x:t>
  </x:si>
  <x:si>
    <x:t>Оплата за обработку данных (отзывы и вопросы покупателей) по сч.34039480 от 25 сентября 2026 г. (самозанятый) НПД 6%. НДС не облагается.</x:t>
  </x:si>
  <x:si>
    <x:t>25.09.2026 №59832</x:t>
  </x:si>
  <x:si>
    <x:t>Оплата по счетам № ОД00005552, ОД00005559, ОД00005579, ОД00005615, ОД00005640, ОД00005645, ОД00005668, ОД00005694, ОД00005705. В т.ч. НДС 22% - 35228.66 руб.</x:t>
  </x:si>
  <x:si>
    <x:t>25.09.2026 №59833</x:t>
  </x:si>
  <x:si>
    <x:t>Предоплата по счёту № 6871 от 25.09.2026. В т.ч. НДС 22% - 28.13 руб.</x:t>
  </x:si>
  <x:si>
    <x:t>27.09.2026 №801633</x:t>
  </x:si>
  <x:si>
    <x:t>Покупка PURCHASE_CB в ТУ Сбербанка YANDEX*5815*PLUS по карте MIR 2202207EE6261557 за 2026-09-27. Держатель ТЕРЕЩЕНКО СВЕТЛАНА СЕРГЕЕВНА. 1010 КА_561002 Чек он-лайн №801633 от 27.09.2026</x:t>
  </x:si>
  <x:si>
    <x:t>28.09.2026 №59838</x:t>
  </x:si>
  <x:si>
    <x:t>28.09.2026 №59839</x:t>
  </x:si>
  <x:si>
    <x:t>Предоплата по счёту № 6883 от 28.09.2026. В т.ч. НДС 22% - 2294.36 руб.</x:t>
  </x:si>
  <x:si>
    <x:t>28.09.2026 №59837</x:t>
  </x:si>
  <x:si>
    <x:t>Оплата по счетам № KV00012807 от 21.09.2026, № KV00012877 от 22.09.2026, № KV00012960 от 23.09.2026, № KV00013023 от 24.09.2026. В т.ч. НДС 22% - 5144.69 руб.</x:t>
  </x:si>
  <x:si>
    <x:t>28.09.2026 №3004087531</x:t>
  </x:si>
  <x:si>
    <x:t>28.09.2026 №3011268193</x:t>
  </x:si>
  <x:si>
    <x:t>29.09.2026 №1615</x:t>
  </x:si>
  <x:si>
    <x:t xml:space="preserve">ВОЗВРАТ ИЗЛИШНЕПЕРЕЧИСЛЕННЫХ ДЕНЕЖНЫХ СРЕДСТВ. СУММА 5133-06 В Т.Ч. НДС (22%) 925-63 </x:t>
  </x:si>
  <x:si>
    <x:t>30.09.2026 №59841</x:t>
  </x:si>
  <x:si>
    <x:t>Оплата по счетам № KV00013079 от 25.09.2026, № KV00013092 от 27.09.2026, № KV00013138 от 28.09.2026. В т.ч. НДС 22% - 3259.69 руб.</x:t>
  </x:si>
  <x:si>
    <x:t>30.09.2026 №59840</x:t>
  </x:si>
  <x:si>
    <x:t>Заработная плата за сентябрь 2026 Терещенко Светлана Сергеевна
Без НДС.</x:t>
  </x:si>
  <x:si>
    <x:t>30.09.2026 №59842</x:t>
  </x:si>
  <x:si>
    <x:t>Оплата за аренду помещения по договору аренды помещения ком. №27 33,6 кв.м. за октябрь. В том числе НДС 22 % - 8916.87 рублей.</x:t>
  </x:si>
  <x:si>
    <x:t>Предоплата по счёту № 6896 от 29.09.2026. В т.ч. НДС 22% - 380.03 руб.</x:t>
  </x:si>
  <x:si>
    <x:t>Стр. взносы на ОСС от несчастных сл. на производстве и проф. заболеваний, за сентябрь 2026 г.
Без НДС.</x:t>
  </x:si>
  <x:si>
    <x:t>30.09.2026 №59843</x:t>
  </x:si>
  <x:si>
    <x:t>Оплата за оказание бухгалтерских и юридических услуг по сч. 19 от 30.09.26 НДС не облагается.</x:t>
  </x:si>
  <x:si>
    <x:t>30.09.2026 №59844</x:t>
  </x:si>
  <x:si>
    <x:t>Оплата за выполнение работ по автоматизации процессов по договору ПБ-02 от 10.09.2026. НДС не облагается.</x:t>
  </x:si>
  <x:si>
    <x:t>30.09.2026 №59846</x:t>
  </x:si>
  <x:si>
    <x:t>Оплата по счетам № ОД00005110, ОД00005425, ОД00005523, ОД00005898. В т.ч. НДС 22% - 4709.14 руб.</x:t>
  </x:si>
  <x:si>
    <x:t>30.09.2026 №59845</x:t>
  </x:si>
  <x:si>
    <x:t>Оплата по счетам № ОД00005719, ОД00005748, ОД00005775, ОД00005803, ОД00005835, ОД00005840, ОД00005842, ОД00005865, ОД00005890. В т.ч. НДС 22% - 38677.28 руб.</x:t>
  </x:si>
  <x:si>
    <x:t>30.09.2026 №59847</x:t>
  </x:si>
  <x:si>
    <x:t>Предоплата по счёту № НР-016940 от 30.09.2026. В т.ч. НДС 22% - 602.19 руб.</x:t>
  </x:si>
  <x:si>
    <x:t>30.09.2026 №59848</x:t>
  </x:si>
  <x:si>
    <x:t>Предоплата по счёту № 6904 от 30.09.2026. В т.ч. НДС 22% - 206.63 руб.</x:t>
  </x:si>
  <x:si>
    <x:t>Итого за III квартал</x:t>
  </x:si>
  <x:si>
    <x:t>Итого за 9 месяцев</x:t>
  </x:si>
  <x:si>
    <x:t>01.10.2026 №506266</x:t>
  </x:si>
  <x:si>
    <x:t>Выплата процентов с 22.09.2026 по 28.09.2026 по счету №40702810355000147717 в рамках договора банковского счета и сделки № 9055107564 от 21.09.2026</x:t>
  </x:si>
  <x:si>
    <x:t>01.10.2026 №594041</x:t>
  </x:si>
  <x:si>
    <x:t>Покупка PURCHASE_CB в ТУ YANDEX*5399*MARKET по карте MIR 2202207EE6261557 за 2026-10-01. Держатель ТЕРЕЩЕНКО СВЕТЛАНА СЕРГЕЕВНА. 1110 КА_017318 Чек он-лайн №594041 от 01.10.2026</x:t>
  </x:si>
  <x:si>
    <x:t>01.10.2026 №357686</x:t>
  </x:si>
  <x:si>
    <x:t>Покупка PURCHASE_CB в ТУ YANDEX*5399*MARKET по карте MIR 2202207EE6261557 за 2026-10-01. Держатель ТЕРЕЩЕНКО СВЕТЛАНА СЕРГЕЕВНА. 1110 КА_883679 Чек он-лайн №357686 от 01.10.2026</x:t>
  </x:si>
  <x:si>
    <x:t>01.10.2026 №59849</x:t>
  </x:si>
  <x:si>
    <x:t>Оплата за услуги по комплектации и упаковке заказов по сч. 34260660 от 1 октября 2026 г. самозанятый НПД. НДС не облагается.</x:t>
  </x:si>
  <x:si>
    <x:t>01.10.2026 №59850</x:t>
  </x:si>
  <x:si>
    <x:t>Предоплата по счёту № 6915 от 01.10.2026. В т.ч. НДС 22% - 892.88 руб.</x:t>
  </x:si>
  <x:si>
    <x:t>02.10.2026 №499134</x:t>
  </x:si>
  <x:si>
    <x:t>Покупка PURCHASE_CB в ТУ shop.cargo-avto.ru по карте MIR 2202207EE6261557 за 2026-10-02. Держатель ТЕРЕЩЕНКО СВЕТЛАНА СЕРГЕЕВНА. 1110 КА_096815 Чек он-лайн №499134 от 02.10.2026</x:t>
  </x:si>
  <x:si>
    <x:t>02.10.2026 №59852</x:t>
  </x:si>
  <x:si>
    <x:t>02.10.2026 №59854</x:t>
  </x:si>
  <x:si>
    <x:t>Предоплата по счёту № 6938 от 02.10.2026. В т.ч. НДС 22% - 1147.81 руб.</x:t>
  </x:si>
  <x:si>
    <x:t>02.10.2026 №59853</x:t>
  </x:si>
  <x:si>
    <x:t>Предоплата по счёту № 6936 от 02.10.2026. В т.ч. НДС 22% - 340.29 руб.</x:t>
  </x:si>
  <x:si>
    <x:t>05.10.2026 №59855</x:t>
  </x:si>
  <x:si>
    <x:t>05.10.2026 №59856</x:t>
  </x:si>
  <x:si>
    <x:t>Оплата по счетам № KV00013208 от 29.09.2026, № KV00013283 от 30.09.2026, № KV00013365 от 01.10.2026. В т.ч. НДС 22% - 5513.84 руб.</x:t>
  </x:si>
  <x:si>
    <x:t>05.10.2026 №59857</x:t>
  </x:si>
  <x:si>
    <x:t>Оплата по счетам № 332844/И от 21.09.2026, № 333376/И от 24.09.2026, № 333747/И от 28.09.2026, № 334053/И от 30.09.2026, № 334207/И от 01.10.2026, № 334333/И от 02.10.2026. В т.ч. НДС 22% - 2014.62 руб.</x:t>
  </x:si>
  <x:si>
    <x:t>05.10.2026 №699726</x:t>
  </x:si>
  <x:si>
    <x:t>ОПЛАТА ПО ДОГОВОРУ Б/Н ОТ 21.09.2026 ЗА ТОВАР. СУММА 122723.66 RUB В Т.Ч. НДС</x:t>
  </x:si>
  <x:si>
    <x:t>05.10.2026 №59858</x:t>
  </x:si>
  <x:si>
    <x:t>Предоплата по счёту № 6950 от 05.10.2026. В т.ч. НДС 22% - 755.71 руб.</x:t>
  </x:si>
  <x:si>
    <x:t>05.10.2026 №3017647423</x:t>
  </x:si>
  <x:si>
    <x:t>07.10.2026 №59861</x:t>
  </x:si>
  <x:si>
    <x:t>07.10.2026 №59860</x:t>
  </x:si>
  <x:si>
    <x:t>Оплата по счетам № KV00013435 от 02.10.2026, № KV00013453 от 04.10.2026, № KV00013511 от 05.10.2026. В т.ч. НДС 22% - 3738.67 руб.</x:t>
  </x:si>
  <x:si>
    <x:t>07.10.2026 №59862</x:t>
  </x:si>
  <x:si>
    <x:t>Предоплата по счёту № 6980 от 07.10.2026. В т.ч. НДС 22% - 451.11 руб.</x:t>
  </x:si>
  <x:si>
    <x:t>07.10.2026 №59859</x:t>
  </x:si>
  <x:si>
    <x:t>Компенсация потребляемых коммунальных услуг п.2.2.18 (Сентябрь 2026) по сч. 281 от 06 октября 2026. НДС не облагается.</x:t>
  </x:si>
  <x:si>
    <x:t>08.10.2026 №949517</x:t>
  </x:si>
  <x:si>
    <x:t>Комиссия за Ежегодное обслуживание СберБизнес Карты (без пластикового носителя) № 2202********1557 от 08.10.2026 согласно Тарифам Банка, с НДС 270.49</x:t>
  </x:si>
  <x:si>
    <x:t>08.10.2026 №59863</x:t>
  </x:si>
  <x:si>
    <x:t>Предоплата по счёту № 6991 от 08.10.2026. В т.ч. НДС 22% - 1670.24 руб.</x:t>
  </x:si>
  <x:si>
    <x:t>09.10.2026 №59864</x:t>
  </x:si>
  <x:si>
    <x:t>Оплата за обработку данных (отзывы и вопросы покупателей) по сч.34571432 от 09 октября 2026 г. (самозанятый) НПД 6%. НДС не облагается.</x:t>
  </x:si>
  <x:si>
    <x:t>09.10.2026 №59865</x:t>
  </x:si>
  <x:si>
    <x:t>Предоплата по счёту № 6997 от 09.10.2026. В т.ч. НДС 22% - 2473.96 руб.</x:t>
  </x:si>
  <x:si>
    <x:t>09.10.2026 №47998130577-1</x:t>
  </x:si>
  <x:si>
    <x:t>12.10.2026 №59866</x:t>
  </x:si>
  <x:si>
    <x:t>Оплата по счетам № KV00013592 от 06.10.2026, № KV00013679 от 07.10.2026, № KV00013764 от 08.10.2026. В т.ч. НДС 22% - 6887.71 руб.</x:t>
  </x:si>
  <x:si>
    <x:t>12.10.2026 №59867</x:t>
  </x:si>
  <x:si>
    <x:t>Оплата за услуги по комплектации и упаковке заказов по сч.34573212 от 9 октября 2026 г. самозанятый НПД. НДС не облагается.</x:t>
  </x:si>
  <x:si>
    <x:t>12.10.2026 №59868</x:t>
  </x:si>
  <x:si>
    <x:t>Предоплата по счёту № 7010-Кактус от 12.10.2026. В т.ч. НДС 22% - 502.64 руб.</x:t>
  </x:si>
  <x:si>
    <x:t>13.10.2026 №59869</x:t>
  </x:si>
  <x:si>
    <x:t>Предоплата по счёту № 7024-Кактус от 13.10.2026. В т.ч. НДС 22% - 1782.87 руб.</x:t>
  </x:si>
  <x:si>
    <x:t>Итого за IV квартал</x:t>
  </x:si>
  <x:si>
    <x:t>За год</x:t>
  </x:si>
  <x:si>
    <x:t>Справка к разделу I:</x:t>
  </x:si>
  <x:si>
    <x:t>010</x:t>
  </x:si>
  <x:si>
    <x:t>Сумма полученных доходов за налоговый период</x:t>
  </x:si>
  <x:si>
    <x:t>020</x:t>
  </x:si>
  <x:si>
    <x:t>Сумма произведенных расходов за налоговый период</x:t>
  </x:si>
  <x:si>
    <x:t>030</x:t>
  </x:si>
  <x:si>
    <x:t>Сумма разницы между суммой уплаченного минимального налога</x:t>
  </x:si>
  <x:si>
    <x:t>и суммой исчисленного в общем порядке налога за предыдущий</x:t>
  </x:si>
  <x:si>
    <x:t>налоговый период</x:t>
  </x:si>
  <x:si>
    <x:t>Итого получено:</x:t>
  </x:si>
  <x:si>
    <x:t>040</x:t>
  </x:si>
  <x:si>
    <x:t>- доходов</x:t>
  </x:si>
  <x:si>
    <x:t>(код строки «010» - код строки «020» - код строки «030»)</x:t>
  </x:si>
  <x:si>
    <x:t>041</x:t>
  </x:si>
  <x:si>
    <x:t>- убытков</x:t>
  </x:si>
  <x:si>
    <x:t>(код строки «020»+ код строки «030») - код строки «010»</x:t>
  </x:si>
  <x:si>
    <x:t>II. Расчет расходов на приобретение (сооружение, изготовление) основных средств
и на приобретение (создание самим налогоплательщиком) нематериальных активов,
учитываемых при исчислении налоговой базы по налогу</x:t>
  </x:si>
  <x:si>
    <x:t>№ п/п</x:t>
  </x:si>
  <x:si>
    <x:t>Наименование объекта основных средств или нематериальных активов</x:t>
  </x:si>
  <x:si>
    <x:t>Дата оплаты объекта основных средств или нематери-альных активов</x:t>
  </x:si>
  <x:si>
    <x:t xml:space="preserve">Дата
подачи документов на государ-ственную регистра-цию объектов основных средств
</x:t>
  </x:si>
  <x:si>
    <x:t>Дата ввода в эксплу-  атацию  объекта основных средств или нематери-альных  активов</x:t>
  </x:si>
  <x:si>
    <x:t xml:space="preserve">Первона-чальная стоимость объекта основных средств или 
немате-риальных активов (рублей)
</x:t>
  </x:si>
  <x:si>
    <x:t xml:space="preserve">Срок по-лезного использо-вания объекта основных средств    или    немате-риальных активов
(количество лет)
</x:t>
  </x:si>
  <x:si>
    <x:t>Остаточ-   ная стои-мость объекта основных средств     или     немате-риальных активов (рублей)</x:t>
  </x:si>
  <x:si>
    <x:t>Количе-   ство кварталов эксплуата-ции    объекта основных средств     или нематери-альных активов в налоговом периоде</x:t>
  </x:si>
  <x:si>
    <x:t>Доля стоимости объекта основных средств или нематери-альных активов, принима-емая в расходы за налоговый период    (%)</x:t>
  </x:si>
  <x:si>
    <x:t xml:space="preserve">Доля стоимости объекта основных средств или нематери-альных активов, принимаемая в расходы за каждый квартал налогового периода      (%)
(гр. 10 / гр. 9)
</x:t>
  </x:si>
  <x:si>
    <x:t>Сумма расходов, учитываемая при исчислении налоговой базы (рублей), в т. ч.</x:t>
  </x:si>
  <x:si>
    <x:t>Включено в расходы за предыдущие налоговые периоды применения УСНО (руб.) (гр. 13 Расчета за предыдущие налоговые периоды)</x:t>
  </x:si>
  <x:si>
    <x:t xml:space="preserve">Оставшаяся часть расходов, подлежащая списанию в последу-
ющих отчетных (налоговых) периодах (руб.)
(гр. 8 -
гр. 13 -
гр. 14)
</x:t>
  </x:si>
  <x:si>
    <x:t xml:space="preserve">Дата выбытия (реализации)
 объекта основных средств или нематери-альных активов
</x:t>
  </x:si>
  <x:si>
    <x:t xml:space="preserve">за каждый квартал налогового периода
(гр. 6 или
гр. 8 х
гр. 11 / 100)
</x:t>
  </x:si>
  <x:si>
    <x:t xml:space="preserve">за налого-вый период
(гр. 12 х
гр. 9)
</x:t>
  </x:si>
  <x:si>
    <x:t>Всего за
отчетный
(налоговый)
период</x:t>
  </x:si>
  <x:si>
    <x:t>х</x:t>
  </x:si>
  <x:si>
    <x:t>III. Расчет суммы убытка, уменьшающей
налоговую базу по налогу, уплачиваемому в связи 
с применением упрощенной системы налогообложения</x:t>
  </x:si>
  <x:si>
    <x:t>Наименование показателя</x:t>
  </x:si>
  <x:si>
    <x:t>Код
строки</x:t>
  </x:si>
  <x:si>
    <x:t>Значения 
показателей</x:t>
  </x:si>
  <x:si>
    <x:t>Сумма убытков, полученных по итогам предыдущих налоговых периодов, которые не были перенесены на начало истекшего налогового периода, - всего: 
(сумма по кодам строк «020» – «110»)</x:t>
  </x:si>
  <x:si>
    <x:t>в том числе за:</x:t>
  </x:si>
  <x:si>
    <x:t>за 20</x:t>
  </x:si>
  <x:si>
    <x:t>25</x:t>
  </x:si>
  <x:si>
    <x:t>050</x:t>
  </x:si>
  <x:si>
    <x:t>060</x:t>
  </x:si>
  <x:si>
    <x:t>070</x:t>
  </x:si>
  <x:si>
    <x:t>080</x:t>
  </x:si>
  <x:si>
    <x:t>090</x:t>
  </x:si>
  <x:si>
    <x:t>100</x:t>
  </x:si>
  <x:si>
    <x:t>110</x:t>
  </x:si>
  <x:si>
    <x:t>Налоговая база за истекший налоговый период, которая может быть уменьшена на убытки предыдущих налоговых периодов
(код стр. «040» справочной части раздела I Книги доходов и расходов)</x:t>
  </x:si>
  <x:si>
    <x:t>120</x:t>
  </x:si>
  <x:si>
    <x:t>Сумма убытков, на которую налогоплательщик фактически уменьшил налоговую базу за истекший налоговый период
(в пределах суммы убытков, указанных по стр. «010»)</x:t>
  </x:si>
  <x:si>
    <x:t>130</x:t>
  </x:si>
  <x:si>
    <x:t>Сумма убытка за истекший налоговый период
(код стр. «041» справочной части Раздела I Книги учета доходов и расходов)</x:t>
  </x:si>
  <x:si>
    <x:t>140</x:t>
  </x:si>
  <x:si>
    <x:t>Сумма убытков на начало следующего налогового периода, которые налогоплательщик вправе перенести на будущие налоговые периоды (код стр. «010» - код стр. 130 + код стр. «140»)  всего:</x:t>
  </x:si>
  <x:si>
    <x:t>150</x:t>
  </x:si>
  <x:si>
    <x:t>160</x:t>
  </x:si>
  <x:si>
    <x:t>170</x:t>
  </x:si>
  <x:si>
    <x:t>180</x:t>
  </x:si>
  <x:si>
    <x:t>190</x:t>
  </x:si>
  <x:si>
    <x:t>200</x:t>
  </x:si>
  <x:si>
    <x:t>210</x:t>
  </x:si>
  <x:si>
    <x:t>220</x:t>
  </x:si>
  <x:si>
    <x:t>230</x:t>
  </x:si>
  <x:si>
    <x:t>240</x:t>
  </x:si>
  <x:si>
    <x:t>250</x:t>
  </x:si>
  <x:si>
    <x:t xml:space="preserve">Раздел IV. Сумма торгового сбора, уменьшающая сумму налога,
уплачиваемого в связи с применением упрощенной системы налогообложения
(авансовых платежей по налогу), исчисленного по объекту налогообложения
от вида предпринимательской деятельности, в отношении которого
установлен торговый сбор
</x:t>
  </x:si>
  <x:si>
    <x:t xml:space="preserve">Дата и номер 
первичного 
документа
</x:t>
  </x:si>
  <x:si>
    <x:t xml:space="preserve">Период, за который произведена уплата
торгового сбора
</x:t>
  </x:si>
  <x:si>
    <x:t xml:space="preserve">Сумма уплаченного 
торгового сбора
</x:t>
  </x:si>
  <x:si>
    <x:t>Итого за год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</x:si>
</x:sst>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Times New Roman"/>
      <x:family val="1"/>
      <x:charset val="204"/>
    </x:font>
    <x:font>
      <x:vertAlign val="baseline"/>
      <x:sz val="10"/>
      <x:color rgb="FF000000"/>
      <x:name val="Times New Roman"/>
      <x:family val="1"/>
      <x:charset val="204"/>
    </x:font>
    <x:font>
      <x:vertAlign val="baseline"/>
      <x:sz val="11"/>
      <x:color rgb="FF000000"/>
      <x:name val="Times New Roman"/>
      <x:family val="1"/>
      <x:charset val="204"/>
    </x:font>
    <x:font>
      <x:b/>
      <x:vertAlign val="baseline"/>
      <x:sz val="12"/>
      <x:color rgb="FF000000"/>
      <x:name val="Times New Roman"/>
      <x:family val="1"/>
      <x:charset val="204"/>
    </x:font>
    <x:font>
      <x:vertAlign val="baseline"/>
      <x:sz val="11"/>
      <x:color theme="1"/>
      <x:name val="Calibri"/>
      <x:family val="2"/>
      <x:charset val="204"/>
    </x:font>
    <x:font>
      <x:vertAlign val="baseline"/>
      <x:sz val="11"/>
      <x:color theme="0"/>
      <x:name val="Calibri"/>
      <x:family val="2"/>
      <x:charset val="204"/>
    </x:font>
    <x:font>
      <x:b/>
      <x:vertAlign val="baseline"/>
      <x:sz val="10"/>
      <x:color rgb="FF000000"/>
      <x:name val="Times New Roman"/>
      <x:family val="1"/>
      <x:charset val="204"/>
    </x:font>
    <x:font>
      <x:vertAlign val="baseline"/>
      <x:sz val="11"/>
      <x:color theme="1"/>
      <x:name val="Times New Roman"/>
      <x:family val="1"/>
      <x:charset val="204"/>
    </x:font>
    <x:font>
      <x:vertAlign val="baseline"/>
      <x:sz val="9"/>
      <x:color theme="0"/>
      <x:name val="Times New Roman"/>
      <x:family val="1"/>
      <x:charset val="204"/>
    </x:font>
    <x:font>
      <x:vertAlign val="baseline"/>
      <x:sz val="10"/>
      <x:color theme="1"/>
      <x:name val="Times New Roman"/>
      <x:family val="1"/>
      <x:charset val="204"/>
    </x:font>
    <x:font>
      <x:vertAlign val="baseline"/>
      <x:sz val="11"/>
      <x:color rgb="FF000000"/>
      <x:name val="Calibri"/>
      <x:family val="2"/>
      <x:charset val="204"/>
    </x:font>
  </x:fonts>
  <x:fills count="2">
    <x:fill>
      <x:patternFill patternType="none"/>
    </x:fill>
    <x:fill>
      <x:patternFill patternType="gray125"/>
    </x:fill>
  </x:fills>
  <x:borders count="1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00000000"/>
      </x:left>
      <x:right style="thin">
        <x:color rgb="00000000"/>
      </x:right>
      <x:top style="thin">
        <x:color rgb="00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00000000"/>
      </x:left>
      <x:right style="thin">
        <x:color rgb="00000000"/>
      </x:right>
      <x:top style="thin">
        <x:color rgb="00000000"/>
      </x:top>
      <x:bottom style="thin">
        <x:color rgb="00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00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00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00000000"/>
      </x:left>
      <x:right style="none">
        <x:color rgb="FF000000"/>
      </x:right>
      <x:top style="thin">
        <x:color rgb="00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00000000"/>
      </x:right>
      <x:top style="thin">
        <x:color rgb="00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00000000"/>
      </x:left>
      <x:right style="thin">
        <x:color rgb="00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00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00000000"/>
      </x:left>
      <x:right style="thin">
        <x:color rgb="00000000"/>
      </x:right>
      <x:top style="none">
        <x:color rgb="FF000000"/>
      </x:top>
      <x:bottom style="thin">
        <x:color rgb="00000000"/>
      </x:bottom>
      <x:diagonal style="none">
        <x:color rgb="FF000000"/>
      </x:diagonal>
    </x:border>
    <x:border diagonalUp="0" diagonalDown="0">
      <x:left style="thin">
        <x:color rgb="00000000"/>
      </x:left>
      <x:right style="none">
        <x:color rgb="FF000000"/>
      </x:right>
      <x:top style="thin">
        <x:color rgb="00000000"/>
      </x:top>
      <x:bottom style="thin">
        <x:color rgb="00000000"/>
      </x:bottom>
      <x:diagonal style="none">
        <x:color rgb="FF000000"/>
      </x:diagonal>
    </x:border>
    <x:border diagonalUp="0" diagonalDown="0">
      <x:left style="thin">
        <x:color rgb="00000000"/>
      </x:left>
      <x:right style="none">
        <x:color rgb="FF000000"/>
      </x:right>
      <x:top style="none">
        <x:color rgb="FF000000"/>
      </x:top>
      <x:bottom style="thin">
        <x:color rgb="00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00000000"/>
      </x:top>
      <x:bottom style="thin">
        <x:color rgb="00000000"/>
      </x:bottom>
      <x:diagonal style="none">
        <x:color rgb="FF000000"/>
      </x:diagonal>
    </x:border>
  </x:borders>
  <x:cellStyleXfs count="4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2" fontId="2" fillId="0" borderId="2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2" fontId="2" fillId="0" borderId="10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2" fontId="2" fillId="0" borderId="0" applyNumberFormat="1" applyFill="1" applyBorder="0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4" fontId="1" fillId="0" borderId="10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49" fontId="2" fillId="0" borderId="5" applyNumberFormat="1" applyFill="1" applyBorder="1" applyAlignment="1" applyProtection="1">
      <x:protection locked="1" hidden="0"/>
    </x:xf>
    <x:xf numFmtId="4" fontId="2" fillId="0" borderId="1" applyNumberFormat="1" applyFill="1" applyBorder="1" applyAlignment="1" applyProtection="1">
      <x:protection locked="1" hidden="0"/>
    </x:xf>
    <x:xf numFmtId="49" fontId="2" fillId="0" borderId="8" applyNumberFormat="1" applyFill="1" applyBorder="1" applyAlignment="1" applyProtection="1">
      <x:protection locked="1" hidden="0"/>
    </x:xf>
    <x:xf numFmtId="4" fontId="2" fillId="0" borderId="7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5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0" fontId="2" fillId="0" borderId="12" applyNumberFormat="1" applyFill="1" applyBorder="1" applyAlignment="1" applyProtection="1">
      <x:protection locked="1" hidden="0"/>
    </x:xf>
    <x:xf numFmtId="49" fontId="2" fillId="0" borderId="11" applyNumberFormat="1" applyFill="1" applyBorder="1" applyAlignment="1" applyProtection="1">
      <x:protection locked="1" hidden="0"/>
    </x:xf>
    <x:xf numFmtId="49" fontId="2" fillId="0" borderId="3" applyNumberFormat="1" applyFill="1" applyBorder="1" applyAlignment="1" applyProtection="1">
      <x:protection locked="1" hidden="0"/>
    </x:xf>
    <x:xf numFmtId="4" fontId="2" fillId="0" borderId="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2" fontId="2" fillId="0" borderId="1" applyNumberFormat="1" applyFill="1" applyBorder="1" applyAlignment="1" applyProtection="1">
      <x:protection locked="1" hidden="0"/>
    </x:xf>
  </x:cellStyleXfs>
  <x:cellXfs count="10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Continuous" vertical="center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2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2" fontId="2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bottom" textRotation="0" wrapText="1" indent="0" relativeIndent="0" justifyLastLine="0" shrinkToFit="1" readingOrder="0"/>
      <x:protection locked="1" hidden="0"/>
    </x:xf>
    <x:xf numFmtId="2" fontId="2" fillId="0" borderId="2" xfId="0" applyNumberFormat="1" applyFill="1" applyBorder="1" applyAlignment="1" applyProtection="1">
      <x:alignment horizontal="center" vertical="bottom" textRotation="0" wrapText="0" indent="0" relativeIndent="0" justifyLastLine="0" shrinkToFit="1" readingOrder="0"/>
      <x:protection locked="1" hidden="0"/>
    </x:xf>
    <x:xf numFmtId="0" fontId="2" fillId="0" borderId="10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1" fillId="0" borderId="10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9" fontId="2" fillId="0" borderId="5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2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9" fontId="2" fillId="0" borderId="5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4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2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2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2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5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49" fontId="10" fillId="0" borderId="5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2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2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2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theme="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0" /><Relationship Type="http://schemas.openxmlformats.org/officeDocument/2006/relationships/styles" Target="/xl/styles.xml" Id="rId11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calcChain" Target="/xl/calcChain.xml" Id="rId12" /><Relationship Type="http://schemas.openxmlformats.org/officeDocument/2006/relationships/theme" Target="/xl/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AC29"/>
  <x:sheetViews>
    <x:sheetView workbookViewId="0"/>
  </x:sheetViews>
  <x:sheetFormatPr defaultRowHeight="15"/>
  <x:cols>
    <x:col min="1" max="4" width="3.425781" style="0" customWidth="1"/>
    <x:col min="5" max="5" width="2.285156" style="0" customWidth="1"/>
    <x:col min="6" max="7" width="1.285156" style="0" customWidth="1"/>
    <x:col min="8" max="8" width="2.425781" style="0" customWidth="1"/>
    <x:col min="9" max="25" width="3.425781" style="0" customWidth="1"/>
    <x:col min="26" max="26" width="8.567768" style="0" customWidth="1"/>
    <x:col min="27" max="27" width="4.855469" style="0" customWidth="1"/>
    <x:col min="28" max="28" width="2.710938" style="0" customWidth="1"/>
    <x:col min="29" max="29" width="3" style="0" customWidth="1"/>
  </x:cols>
  <x:sheetData>
    <x:row r="1" spans="1:29" ht="69" customHeight="1"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2" t="s">
        <x:v>0</x:v>
      </x:c>
      <x:c r="W1" s="2"/>
      <x:c r="X1" s="2"/>
      <x:c r="Y1" s="2"/>
      <x:c r="Z1" s="2"/>
      <x:c r="AA1" s="2"/>
      <x:c r="AB1" s="2"/>
      <x:c r="AC1" s="2"/>
    </x:row>
    <x:row r="2" spans="1:29"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3"/>
      <x:c r="Y2" s="3"/>
      <x:c r="Z2" s="3"/>
      <x:c r="AA2" s="3"/>
      <x:c r="AB2" s="4"/>
      <x:c r="AC2" s="5"/>
    </x:row>
    <x:row r="3" spans="1:29" ht="51" customHeight="1">
      <x:c r="B3" s="6" t="s">
        <x:v>1</x:v>
      </x:c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</x:row>
    <x:row r="4" spans="1:29"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3"/>
      <x:c r="Y4" s="3"/>
      <x:c r="Z4" s="3"/>
      <x:c r="AA4" s="3"/>
      <x:c r="AB4" s="4"/>
      <x:c r="AC4" s="5"/>
    </x:row>
    <x:row r="5" spans="1:29"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8"/>
      <x:c r="Y5" s="8"/>
      <x:c r="Z5" s="8"/>
      <x:c r="AA5" s="9" t="s">
        <x:v>2</x:v>
      </x:c>
      <x:c r="AB5" s="9"/>
      <x:c r="AC5" s="9"/>
    </x:row>
    <x:row r="6" spans="1:29"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10" t="s">
        <x:v>3</x:v>
      </x:c>
      <x:c r="Y6" s="10"/>
      <x:c r="Z6" s="10"/>
      <x:c r="AA6" s="11"/>
      <x:c r="AB6" s="11"/>
      <x:c r="AC6" s="11"/>
    </x:row>
    <x:row r="7" spans="1:29">
      <x:c r="B7" s="7"/>
      <x:c r="C7" s="12"/>
      <x:c r="D7" s="13" t="s">
        <x:v>4</x:v>
      </x:c>
      <x:c r="E7" s="13"/>
      <x:c r="F7" s="14" t="s">
        <x:v>5</x:v>
      </x:c>
      <x:c r="G7" s="14"/>
      <x:c r="H7" s="7" t="s">
        <x:v>6</x:v>
      </x:c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10" t="s">
        <x:v>7</x:v>
      </x:c>
      <x:c r="W7" s="10"/>
      <x:c r="X7" s="10"/>
      <x:c r="Y7" s="10"/>
      <x:c r="Z7" s="10"/>
      <x:c r="AA7" s="15" t="s">
        <x:v>8</x:v>
      </x:c>
      <x:c r="AB7" s="15" t="s">
        <x:v>9</x:v>
      </x:c>
      <x:c r="AC7" s="15" t="s">
        <x:v>9</x:v>
      </x:c>
    </x:row>
    <x:row r="8" spans="1:29" ht="0.75" customHeight="1">
      <x:c r="B8" s="7"/>
      <x:c r="C8" s="12"/>
      <x:c r="D8" s="7"/>
      <x:c r="E8" s="7"/>
      <x:c r="F8" s="16"/>
      <x:c r="G8" s="16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10"/>
      <x:c r="W8" s="10"/>
      <x:c r="X8" s="10"/>
      <x:c r="Y8" s="10"/>
      <x:c r="Z8" s="10"/>
      <x:c r="AA8" s="17"/>
      <x:c r="AB8" s="18"/>
      <x:c r="AC8" s="19"/>
    </x:row>
    <x:row r="9" spans="1:29">
      <x:c r="B9" s="7"/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8"/>
      <x:c r="Y9" s="8"/>
      <x:c r="Z9" s="8"/>
      <x:c r="AA9" s="20" t="s">
        <x:v>10</x:v>
      </x:c>
      <x:c r="AB9" s="20"/>
      <x:c r="AC9" s="20"/>
    </x:row>
    <x:row r="10" spans="1:29" ht="48" customHeight="1">
      <x:c r="B10" s="21" t="s">
        <x:v>11</x:v>
      </x:c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  <x:c r="N10" s="22" t="s">
        <x:v>12</x:v>
      </x:c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8"/>
      <x:c r="Z10" s="8"/>
      <x:c r="AA10" s="20"/>
      <x:c r="AB10" s="20"/>
      <x:c r="AC10" s="20"/>
    </x:row>
    <x:row r="11" spans="1:29"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18"/>
      <x:c r="Y11" s="10" t="s">
        <x:v>13</x:v>
      </x:c>
      <x:c r="Z11" s="10"/>
      <x:c r="AA11" s="20"/>
      <x:c r="AB11" s="20"/>
      <x:c r="AC11" s="20"/>
    </x:row>
    <x:row r="12" spans="1:29">
      <x:c r="B12" s="7" t="s">
        <x:v>14</x:v>
      </x:c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  <x:c r="AA12" s="24"/>
      <x:c r="AB12" s="24"/>
      <x:c r="AC12" s="24"/>
    </x:row>
    <x:row r="13" spans="1:29"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8"/>
      <x:c r="Y13" s="8"/>
      <x:c r="Z13" s="8"/>
      <x:c r="AA13" s="25"/>
      <x:c r="AB13" s="25"/>
      <x:c r="AC13" s="25"/>
    </x:row>
    <x:row r="14" spans="1:29">
      <x:c r="B14" s="26" t="s">
        <x:v>15</x:v>
      </x:c>
      <x:c r="C14" s="26" t="s">
        <x:v>15</x:v>
      </x:c>
      <x:c r="D14" s="26" t="s">
        <x:v>16</x:v>
      </x:c>
      <x:c r="E14" s="26" t="s">
        <x:v>17</x:v>
      </x:c>
      <x:c r="F14" s="26"/>
      <x:c r="G14" s="26" t="s">
        <x:v>9</x:v>
      </x:c>
      <x:c r="H14" s="26"/>
      <x:c r="I14" s="26" t="s">
        <x:v>9</x:v>
      </x:c>
      <x:c r="J14" s="26" t="s">
        <x:v>17</x:v>
      </x:c>
      <x:c r="K14" s="26" t="s">
        <x:v>18</x:v>
      </x:c>
      <x:c r="L14" s="26" t="s">
        <x:v>19</x:v>
      </x:c>
      <x:c r="M14" s="26" t="s">
        <x:v>20</x:v>
      </x:c>
      <x:c r="N14" s="26" t="s">
        <x:v>9</x:v>
      </x:c>
      <x:c r="O14" s="26" t="s">
        <x:v>17</x:v>
      </x:c>
      <x:c r="P14" s="26" t="s">
        <x:v>21</x:v>
      </x:c>
      <x:c r="Q14" s="26" t="s">
        <x:v>16</x:v>
      </x:c>
      <x:c r="R14" s="26" t="s">
        <x:v>17</x:v>
      </x:c>
      <x:c r="S14" s="26" t="s">
        <x:v>9</x:v>
      </x:c>
      <x:c r="T14" s="26" t="s">
        <x:v>9</x:v>
      </x:c>
      <x:c r="U14" s="26" t="s">
        <x:v>18</x:v>
      </x:c>
      <x:c r="V14" s="26" t="s">
        <x:v>9</x:v>
      </x:c>
      <x:c r="W14" s="26" t="s">
        <x:v>18</x:v>
      </x:c>
      <x:c r="X14" s="26" t="s">
        <x:v>18</x:v>
      </x:c>
      <x:c r="Y14" s="26" t="s">
        <x:v>9</x:v>
      </x:c>
      <x:c r="Z14" s="27"/>
      <x:c r="AA14" s="25"/>
      <x:c r="AB14" s="25"/>
      <x:c r="AC14" s="25"/>
    </x:row>
    <x:row r="15" spans="1:29"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9"/>
      <x:c r="Y15" s="29"/>
      <x:c r="Z15" s="30"/>
      <x:c r="AA15" s="25"/>
      <x:c r="AB15" s="25"/>
      <x:c r="AC15" s="25"/>
    </x:row>
    <x:row r="16" spans="1:29">
      <x:c r="B16" s="31" t="s">
        <x:v>22</x:v>
      </x:c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0"/>
      <x:c r="AA16" s="25"/>
      <x:c r="AB16" s="25"/>
      <x:c r="AC16" s="25"/>
    </x:row>
    <x:row r="17" spans="1:29"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30"/>
      <x:c r="Y17" s="30"/>
      <x:c r="Z17" s="30"/>
      <x:c r="AA17" s="25"/>
      <x:c r="AB17" s="25"/>
      <x:c r="AC17" s="25"/>
    </x:row>
    <x:row r="18" spans="1:29">
      <x:c r="B18" s="26" t="s">
        <x:v>15</x:v>
      </x:c>
      <x:c r="C18" s="26" t="s">
        <x:v>15</x:v>
      </x:c>
      <x:c r="D18" s="26" t="s">
        <x:v>15</x:v>
      </x:c>
      <x:c r="E18" s="26" t="s">
        <x:v>15</x:v>
      </x:c>
      <x:c r="F18" s="26"/>
      <x:c r="G18" s="26" t="s">
        <x:v>15</x:v>
      </x:c>
      <x:c r="H18" s="26"/>
      <x:c r="I18" s="26" t="s">
        <x:v>15</x:v>
      </x:c>
      <x:c r="J18" s="26" t="s">
        <x:v>15</x:v>
      </x:c>
      <x:c r="K18" s="26" t="s">
        <x:v>15</x:v>
      </x:c>
      <x:c r="L18" s="26" t="s">
        <x:v>15</x:v>
      </x:c>
      <x:c r="M18" s="26" t="s">
        <x:v>15</x:v>
      </x:c>
      <x:c r="N18" s="26" t="s">
        <x:v>15</x:v>
      </x:c>
      <x:c r="O18" s="26" t="s">
        <x:v>15</x:v>
      </x:c>
      <x:c r="P18" s="32"/>
      <x:c r="Q18" s="13"/>
      <x:c r="R18" s="13"/>
      <x:c r="S18" s="13"/>
      <x:c r="T18" s="13"/>
      <x:c r="U18" s="13"/>
      <x:c r="V18" s="13"/>
      <x:c r="W18" s="13"/>
      <x:c r="X18" s="30"/>
      <x:c r="Y18" s="30"/>
      <x:c r="Z18" s="30"/>
      <x:c r="AA18" s="25"/>
      <x:c r="AB18" s="25"/>
      <x:c r="AC18" s="25"/>
    </x:row>
    <x:row r="19" spans="1:29"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13"/>
      <x:c r="Q19" s="13"/>
      <x:c r="R19" s="13"/>
      <x:c r="S19" s="13"/>
      <x:c r="T19" s="13"/>
      <x:c r="U19" s="13"/>
      <x:c r="V19" s="13"/>
      <x:c r="W19" s="13"/>
      <x:c r="X19" s="30"/>
      <x:c r="Y19" s="30"/>
      <x:c r="Z19" s="30"/>
      <x:c r="AA19" s="25"/>
      <x:c r="AB19" s="25"/>
      <x:c r="AC19" s="25"/>
    </x:row>
    <x:row r="20" spans="1:29">
      <x:c r="B20" s="7" t="s">
        <x:v>23</x:v>
      </x:c>
      <x:c r="C20" s="7"/>
      <x:c r="D20" s="7"/>
      <x:c r="E20" s="7"/>
      <x:c r="F20" s="7"/>
      <x:c r="G20" s="7"/>
      <x:c r="H20" s="7"/>
      <x:c r="I20" s="7"/>
      <x:c r="J20" s="13" t="s">
        <x:v>24</x:v>
      </x:c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30"/>
      <x:c r="AA20" s="25"/>
      <x:c r="AB20" s="25"/>
      <x:c r="AC20" s="25"/>
    </x:row>
    <x:row r="21" spans="1:29">
      <x:c r="B21" s="13"/>
      <x:c r="C21" s="13"/>
      <x:c r="D21" s="13"/>
      <x:c r="E21" s="13"/>
      <x:c r="F21" s="13"/>
      <x:c r="G21" s="13"/>
      <x:c r="H21" s="13"/>
      <x:c r="I21" s="13"/>
      <x:c r="J21" s="28" t="s">
        <x:v>25</x:v>
      </x:c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28"/>
      <x:c r="Z21" s="30"/>
      <x:c r="AA21" s="25"/>
      <x:c r="AB21" s="25"/>
      <x:c r="AC21" s="25"/>
    </x:row>
    <x:row r="22" spans="1:29"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30"/>
      <x:c r="Y22" s="30"/>
      <x:c r="Z22" s="30"/>
      <x:c r="AA22" s="25"/>
      <x:c r="AB22" s="25"/>
      <x:c r="AC22" s="25"/>
    </x:row>
    <x:row r="23" spans="1:29"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0"/>
      <x:c r="AA23" s="25"/>
      <x:c r="AB23" s="25"/>
      <x:c r="AC23" s="25"/>
    </x:row>
    <x:row r="24" spans="1:29">
      <x:c r="B24" s="28" t="s">
        <x:v>26</x:v>
      </x:c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  <x:c r="V24" s="28"/>
      <x:c r="W24" s="28"/>
      <x:c r="X24" s="28"/>
      <x:c r="Y24" s="28"/>
      <x:c r="Z24" s="30"/>
      <x:c r="AA24" s="33"/>
      <x:c r="AB24" s="33"/>
      <x:c r="AC24" s="33"/>
    </x:row>
    <x:row r="25" spans="1:29">
      <x:c r="B25" s="7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30"/>
      <x:c r="Y25" s="30"/>
      <x:c r="Z25" s="30"/>
      <x:c r="AA25" s="30"/>
      <x:c r="AB25" s="30"/>
      <x:c r="AC25" s="30"/>
    </x:row>
    <x:row r="26" spans="1:29">
      <x:c r="B26" s="34" t="s">
        <x:v>27</x:v>
      </x:c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28"/>
      <x:c r="Q26" s="28"/>
      <x:c r="R26" s="28"/>
      <x:c r="S26" s="28"/>
      <x:c r="T26" s="23"/>
      <x:c r="U26" s="23"/>
      <x:c r="V26" s="23"/>
      <x:c r="W26" s="23"/>
      <x:c r="X26" s="23"/>
      <x:c r="Y26" s="23"/>
      <x:c r="Z26" s="23"/>
      <x:c r="AA26" s="23"/>
      <x:c r="AB26" s="23"/>
      <x:c r="AC26" s="23"/>
    </x:row>
    <x:row r="27" spans="1:29"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28"/>
      <x:c r="U27" s="28"/>
      <x:c r="V27" s="28"/>
      <x:c r="W27" s="28"/>
      <x:c r="X27" s="29"/>
      <x:c r="Y27" s="29"/>
      <x:c r="Z27" s="29"/>
      <x:c r="AA27" s="29"/>
      <x:c r="AB27" s="29"/>
      <x:c r="AC27" s="29"/>
    </x:row>
    <x:row r="28" spans="1:29">
      <x:c r="B28" s="35" t="s">
        <x:v>28</x:v>
      </x:c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  <x:c r="AA28" s="35"/>
      <x:c r="AB28" s="35"/>
      <x:c r="AC28" s="35"/>
    </x:row>
    <x:row r="29" spans="1:29">
      <x:c r="B29" s="28" t="s">
        <x:v>29</x:v>
      </x:c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  <x:c r="S29" s="28"/>
      <x:c r="T29" s="28"/>
      <x:c r="U29" s="28"/>
      <x:c r="V29" s="28"/>
      <x:c r="W29" s="28"/>
      <x:c r="X29" s="28"/>
      <x:c r="Y29" s="28"/>
      <x:c r="Z29" s="28"/>
      <x:c r="AA29" s="28"/>
      <x:c r="AB29" s="28"/>
      <x:c r="AC29" s="28"/>
    </x:row>
  </x:sheetData>
  <x:mergeCells count="36">
    <x:mergeCell ref="V1:AC1"/>
    <x:mergeCell ref="B3:AC3"/>
    <x:mergeCell ref="AA5:AC5"/>
    <x:mergeCell ref="X6:Z6"/>
    <x:mergeCell ref="AA6:AC6"/>
    <x:mergeCell ref="D7:E7"/>
    <x:mergeCell ref="F7:G7"/>
    <x:mergeCell ref="V7:Z7"/>
    <x:mergeCell ref="AA9:AC11"/>
    <x:mergeCell ref="B10:M10"/>
    <x:mergeCell ref="N10:X10"/>
    <x:mergeCell ref="Y11:Z11"/>
    <x:mergeCell ref="B12:Z12"/>
    <x:mergeCell ref="AA12:AC12"/>
    <x:mergeCell ref="AA13:AC13"/>
    <x:mergeCell ref="E14:F14"/>
    <x:mergeCell ref="G14:H14"/>
    <x:mergeCell ref="AA14:AC14"/>
    <x:mergeCell ref="AA15:AC15"/>
    <x:mergeCell ref="AA16:AC16"/>
    <x:mergeCell ref="AA17:AC17"/>
    <x:mergeCell ref="E18:F18"/>
    <x:mergeCell ref="G18:H18"/>
    <x:mergeCell ref="AA18:AC18"/>
    <x:mergeCell ref="AA19:AC19"/>
    <x:mergeCell ref="B20:I20"/>
    <x:mergeCell ref="J20:Y20"/>
    <x:mergeCell ref="AA20:AC20"/>
    <x:mergeCell ref="J21:Y21"/>
    <x:mergeCell ref="AA21:AC21"/>
    <x:mergeCell ref="AA22:AC22"/>
    <x:mergeCell ref="AA23:AC23"/>
    <x:mergeCell ref="B24:Y24"/>
    <x:mergeCell ref="AA24:AC24"/>
    <x:mergeCell ref="T26:AC26"/>
    <x:mergeCell ref="B29:AC29"/>
  </x:mergeCells>
  <x:printOptions horizontalCentered="0" verticalCentered="0" headings="0" gridLines="0"/>
  <x:pageMargins left="0.7" right="0.7" top="0.75" bottom="0.75" header="0.511811023622047" footer="0.511811023622047"/>
  <x:pageSetup paperSize="9" fitToHeight="0" pageOrder="downThenOver" orientation="portrait" blackAndWhite="0" draft="0" cellComments="none" errors="displayed"/>
  <x:headerFooter differentOddEven="0" differentFirst="1" scaleWithDoc="1" alignWithMargins="1">
    <x:oddHeader/>
    <x:oddFooter>&amp;R&amp;P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AB180"/>
  <x:sheetViews>
    <x:sheetView workbookViewId="0"/>
  </x:sheetViews>
  <x:sheetFormatPr defaultRowHeight="15"/>
  <x:cols>
    <x:col min="1" max="1" width="3.425781" style="0" customWidth="1"/>
    <x:col min="2" max="2" width="8.710938" style="0" customWidth="1"/>
    <x:col min="3" max="3" width="15.425781" style="0" customWidth="1"/>
    <x:col min="4" max="4" width="42" style="0" customWidth="1"/>
    <x:col min="5" max="6" width="16.710938" style="0" customWidth="1"/>
    <x:col min="7" max="25" width="8.567768" style="0" customWidth="1"/>
    <x:col min="26" max="26" width="10.285156" style="0" customWidth="1"/>
    <x:col min="27" max="28" width="8.567768" style="0" customWidth="1"/>
  </x:cols>
  <x:sheetData>
    <x:row r="1" spans="1:28">
      <x:c r="B1" s="30"/>
      <x:c r="C1" s="30"/>
      <x:c r="D1" s="30"/>
      <x:c r="E1" s="30"/>
      <x:c r="F1" s="30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7" t="str">
        <x:f>'Доходы и расходы за 4 квартал'!$Y$1</x:f>
        <x:v>0</x:v>
      </x:c>
      <x:c r="Z1" s="36"/>
      <x:c r="AA1" s="37" t="e">
        <x:f>SUM(INDIRECT("E7:"&amp;ADDRESS(MATCH("Итого за I квартал", $B:$B, 0) - 1, 5)))</x:f>
        <x:v>#NAME?</x:v>
      </x:c>
      <x:c r="AB1" s="37" t="e">
        <x:f>SUM(INDIRECT("F7:"&amp;ADDRESS(MATCH("Итого за I квартал", $B:$B, 0) - 1, 6)))</x:f>
        <x:v>#NAME?</x:v>
      </x:c>
    </x:row>
    <x:row r="2" spans="1:28">
      <x:c r="B2" s="38" t="s">
        <x:v>30</x:v>
      </x:c>
      <x:c r="C2" s="38"/>
      <x:c r="D2" s="38"/>
      <x:c r="E2" s="38"/>
      <x:c r="F2" s="38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  <x:c r="V2" s="36"/>
      <x:c r="W2" s="36"/>
      <x:c r="X2" s="36"/>
      <x:c r="Y2" s="36"/>
      <x:c r="Z2" s="37" t="e">
        <x:f>MAX(INDIRECT("B7:B"&amp;ROWS(B:B)))</x:f>
        <x:v>#NAME?</x:v>
      </x:c>
      <x:c r="AA2" s="36"/>
      <x:c r="AB2" s="36"/>
    </x:row>
    <x:row r="3" spans="1:28">
      <x:c r="B3" s="39"/>
      <x:c r="C3" s="39"/>
      <x:c r="D3" s="39"/>
      <x:c r="E3" s="39"/>
      <x:c r="F3" s="39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  <x:c r="AA3" s="36"/>
      <x:c r="AB3" s="36"/>
    </x:row>
    <x:row r="4" spans="1:28">
      <x:c r="B4" s="40" t="s">
        <x:v>31</x:v>
      </x:c>
      <x:c r="C4" s="40"/>
      <x:c r="D4" s="40"/>
      <x:c r="E4" s="9" t="s">
        <x:v>32</x:v>
      </x:c>
      <x:c r="F4" s="9"/>
      <x:c r="G4" s="36"/>
      <x:c r="H4" s="36"/>
      <x:c r="I4" s="36"/>
      <x:c r="J4" s="36"/>
      <x:c r="K4" s="36"/>
      <x:c r="L4" s="36"/>
      <x:c r="M4" s="36"/>
      <x:c r="N4" s="36"/>
      <x:c r="O4" s="36"/>
      <x:c r="P4" s="36"/>
      <x:c r="Q4" s="36"/>
      <x:c r="R4" s="36"/>
      <x:c r="S4" s="36"/>
      <x:c r="T4" s="36"/>
      <x:c r="U4" s="36"/>
      <x:c r="V4" s="36"/>
      <x:c r="W4" s="36"/>
      <x:c r="X4" s="36"/>
      <x:c r="Y4" s="36"/>
      <x:c r="Z4" s="36"/>
      <x:c r="AA4" s="36"/>
      <x:c r="AB4" s="36"/>
    </x:row>
    <x:row r="5" spans="1:28" ht="68.25" customHeight="1">
      <x:c r="B5" s="41" t="s">
        <x:v>33</x:v>
      </x:c>
      <x:c r="C5" s="41" t="s">
        <x:v>34</x:v>
      </x:c>
      <x:c r="D5" s="42" t="s">
        <x:v>35</x:v>
      </x:c>
      <x:c r="E5" s="41" t="s">
        <x:v>36</x:v>
      </x:c>
      <x:c r="F5" s="43" t="s">
        <x:v>37</x:v>
      </x:c>
      <x:c r="G5" s="36"/>
      <x:c r="H5" s="36"/>
      <x:c r="I5" s="36"/>
      <x:c r="J5" s="36"/>
      <x:c r="K5" s="36"/>
      <x:c r="L5" s="36"/>
      <x:c r="M5" s="36"/>
      <x:c r="N5" s="36"/>
      <x:c r="O5" s="36"/>
      <x:c r="P5" s="36"/>
      <x:c r="Q5" s="36"/>
      <x:c r="R5" s="36"/>
      <x:c r="S5" s="36"/>
      <x:c r="T5" s="36"/>
      <x:c r="U5" s="36"/>
      <x:c r="V5" s="36"/>
      <x:c r="W5" s="36"/>
      <x:c r="X5" s="36"/>
      <x:c r="Y5" s="36"/>
      <x:c r="Z5" s="36"/>
      <x:c r="AA5" s="36"/>
      <x:c r="AB5" s="36"/>
    </x:row>
    <x:row r="6" spans="1:28">
      <x:c r="B6" s="40">
        <x:v>1</x:v>
      </x:c>
      <x:c r="C6" s="40">
        <x:v>2</x:v>
      </x:c>
      <x:c r="D6" s="40">
        <x:v>3</x:v>
      </x:c>
      <x:c r="E6" s="40">
        <x:v>4</x:v>
      </x:c>
      <x:c r="F6" s="9">
        <x:v>5</x:v>
      </x:c>
      <x:c r="G6" s="36"/>
      <x:c r="H6" s="36"/>
      <x:c r="I6" s="36"/>
      <x:c r="J6" s="36"/>
      <x:c r="K6" s="36"/>
      <x:c r="L6" s="36"/>
      <x:c r="M6" s="36"/>
      <x:c r="N6" s="36"/>
      <x:c r="O6" s="36"/>
      <x:c r="P6" s="36"/>
      <x:c r="Q6" s="36"/>
      <x:c r="R6" s="36"/>
      <x:c r="S6" s="36"/>
      <x:c r="T6" s="36"/>
      <x:c r="U6" s="36"/>
      <x:c r="V6" s="36"/>
      <x:c r="W6" s="36"/>
      <x:c r="X6" s="36"/>
      <x:c r="Y6" s="36"/>
      <x:c r="Z6" s="36"/>
      <x:c r="AA6" s="36"/>
      <x:c r="AB6" s="36"/>
    </x:row>
    <x:row r="7" spans="1:28">
      <x:c r="B7" s="15">
        <x:f>IF(ISBLANK(INDIRECT(ADDRESS(ROW(),3))),"",ROW() - 6)</x:f>
        <x:v>1</x:v>
      </x:c>
      <x:c r="C7" s="44" t="s">
        <x:v>38</x:v>
      </x:c>
      <x:c r="D7" s="45" t="s">
        <x:v>39</x:v>
      </x:c>
      <x:c r="E7" s="46" t="s">
        <x:v>40</x:v>
      </x:c>
      <x:c r="F7" s="46">
        <x:v>125373.24</x:v>
      </x:c>
    </x:row>
    <x:row r="8" spans="1:28">
      <x:c r="B8" s="15">
        <x:f>IF(ISBLANK(INDIRECT(ADDRESS(ROW(),3))),"",ROW() - 6)</x:f>
        <x:v>2</x:v>
      </x:c>
      <x:c r="C8" s="44" t="s">
        <x:v>41</x:v>
      </x:c>
      <x:c r="D8" s="45" t="s">
        <x:v>42</x:v>
      </x:c>
      <x:c r="E8" s="46" t="s">
        <x:v>40</x:v>
      </x:c>
      <x:c r="F8" s="46">
        <x:v>14982.35</x:v>
      </x:c>
    </x:row>
    <x:row r="9" spans="1:28">
      <x:c r="B9" s="15">
        <x:f>IF(ISBLANK(INDIRECT(ADDRESS(ROW(),3))),"",ROW() - 6)</x:f>
        <x:v>3</x:v>
      </x:c>
      <x:c r="C9" s="44" t="s">
        <x:v>43</x:v>
      </x:c>
      <x:c r="D9" s="45" t="s">
        <x:v>44</x:v>
      </x:c>
      <x:c r="E9" s="46">
        <x:v>1716</x:v>
      </x:c>
      <x:c r="F9" s="46" t="s">
        <x:v>40</x:v>
      </x:c>
    </x:row>
    <x:row r="10" spans="1:28">
      <x:c r="B10" s="15">
        <x:f>IF(ISBLANK(INDIRECT(ADDRESS(ROW(),3))),"",ROW() - 6)</x:f>
        <x:v>4</x:v>
      </x:c>
      <x:c r="C10" s="44" t="s">
        <x:v>45</x:v>
      </x:c>
      <x:c r="D10" s="45" t="s">
        <x:v>46</x:v>
      </x:c>
      <x:c r="E10" s="46" t="s">
        <x:v>40</x:v>
      </x:c>
      <x:c r="F10" s="46">
        <x:v>4536.36</x:v>
      </x:c>
    </x:row>
    <x:row r="11" spans="1:28">
      <x:c r="B11" s="15">
        <x:f>IF(ISBLANK(INDIRECT(ADDRESS(ROW(),3))),"",ROW() - 6)</x:f>
        <x:v>5</x:v>
      </x:c>
      <x:c r="C11" s="44" t="s">
        <x:v>47</x:v>
      </x:c>
      <x:c r="D11" s="45" t="s">
        <x:v>48</x:v>
      </x:c>
      <x:c r="E11" s="46" t="s">
        <x:v>40</x:v>
      </x:c>
      <x:c r="F11" s="46">
        <x:v>4334.87</x:v>
      </x:c>
    </x:row>
    <x:row r="12" spans="1:28">
      <x:c r="B12" s="15">
        <x:f>IF(ISBLANK(INDIRECT(ADDRESS(ROW(),3))),"",ROW() - 6)</x:f>
        <x:v>6</x:v>
      </x:c>
      <x:c r="C12" s="44" t="s">
        <x:v>49</x:v>
      </x:c>
      <x:c r="D12" s="45" t="s">
        <x:v>48</x:v>
      </x:c>
      <x:c r="E12" s="46" t="s">
        <x:v>40</x:v>
      </x:c>
      <x:c r="F12" s="46">
        <x:v>112397.73</x:v>
      </x:c>
    </x:row>
    <x:row r="13" spans="1:28">
      <x:c r="B13" s="15">
        <x:f>IF(ISBLANK(INDIRECT(ADDRESS(ROW(),3))),"",ROW() - 6)</x:f>
        <x:v>7</x:v>
      </x:c>
      <x:c r="C13" s="44" t="s">
        <x:v>50</x:v>
      </x:c>
      <x:c r="D13" s="45" t="s">
        <x:v>51</x:v>
      </x:c>
      <x:c r="E13" s="46">
        <x:v>94142</x:v>
      </x:c>
      <x:c r="F13" s="46" t="s">
        <x:v>40</x:v>
      </x:c>
    </x:row>
    <x:row r="14" spans="1:28">
      <x:c r="B14" s="15">
        <x:f>IF(ISBLANK(INDIRECT(ADDRESS(ROW(),3))),"",ROW() - 6)</x:f>
        <x:v>8</x:v>
      </x:c>
      <x:c r="C14" s="44" t="s">
        <x:v>50</x:v>
      </x:c>
      <x:c r="D14" s="45" t="s">
        <x:v>52</x:v>
      </x:c>
      <x:c r="E14" s="46" t="s">
        <x:v>40</x:v>
      </x:c>
      <x:c r="F14" s="46">
        <x:v>47634.05</x:v>
      </x:c>
    </x:row>
    <x:row r="15" spans="1:28">
      <x:c r="B15" s="15">
        <x:f>IF(ISBLANK(INDIRECT(ADDRESS(ROW(),3))),"",ROW() - 6)</x:f>
        <x:v>9</x:v>
      </x:c>
      <x:c r="C15" s="44" t="s">
        <x:v>53</x:v>
      </x:c>
      <x:c r="D15" s="45" t="s">
        <x:v>51</x:v>
      </x:c>
      <x:c r="E15" s="46">
        <x:v>7755.72</x:v>
      </x:c>
      <x:c r="F15" s="46" t="s">
        <x:v>40</x:v>
      </x:c>
    </x:row>
    <x:row r="16" spans="1:28">
      <x:c r="B16" s="15">
        <x:f>IF(ISBLANK(INDIRECT(ADDRESS(ROW(),3))),"",ROW() - 6)</x:f>
        <x:v>10</x:v>
      </x:c>
      <x:c r="C16" s="44" t="s">
        <x:v>53</x:v>
      </x:c>
      <x:c r="D16" s="45" t="s">
        <x:v>52</x:v>
      </x:c>
      <x:c r="E16" s="46" t="s">
        <x:v>40</x:v>
      </x:c>
      <x:c r="F16" s="46">
        <x:v>209.08</x:v>
      </x:c>
    </x:row>
    <x:row r="17" spans="1:28">
      <x:c r="B17" s="15">
        <x:f>IF(ISBLANK(INDIRECT(ADDRESS(ROW(),3))),"",ROW() - 6)</x:f>
        <x:v>11</x:v>
      </x:c>
      <x:c r="C17" s="44" t="s">
        <x:v>54</x:v>
      </x:c>
      <x:c r="D17" s="45" t="s">
        <x:v>48</x:v>
      </x:c>
      <x:c r="E17" s="46" t="s">
        <x:v>40</x:v>
      </x:c>
      <x:c r="F17" s="46">
        <x:v>3856.36</x:v>
      </x:c>
    </x:row>
    <x:row r="18" spans="1:28">
      <x:c r="B18" s="15">
        <x:f>IF(ISBLANK(INDIRECT(ADDRESS(ROW(),3))),"",ROW() - 6)</x:f>
        <x:v>12</x:v>
      </x:c>
      <x:c r="C18" s="44" t="s">
        <x:v>55</x:v>
      </x:c>
      <x:c r="D18" s="45" t="s">
        <x:v>48</x:v>
      </x:c>
      <x:c r="E18" s="46" t="s">
        <x:v>40</x:v>
      </x:c>
      <x:c r="F18" s="46">
        <x:v>53081.77</x:v>
      </x:c>
    </x:row>
    <x:row r="19" spans="1:28">
      <x:c r="B19" s="15">
        <x:f>IF(ISBLANK(INDIRECT(ADDRESS(ROW(),3))),"",ROW() - 6)</x:f>
        <x:v>13</x:v>
      </x:c>
      <x:c r="C19" s="44" t="s">
        <x:v>56</x:v>
      </x:c>
      <x:c r="D19" s="45" t="s">
        <x:v>51</x:v>
      </x:c>
      <x:c r="E19" s="46">
        <x:v>197802</x:v>
      </x:c>
      <x:c r="F19" s="46" t="s">
        <x:v>40</x:v>
      </x:c>
    </x:row>
    <x:row r="20" spans="1:28">
      <x:c r="B20" s="15">
        <x:f>IF(ISBLANK(INDIRECT(ADDRESS(ROW(),3))),"",ROW() - 6)</x:f>
        <x:v>14</x:v>
      </x:c>
      <x:c r="C20" s="44" t="s">
        <x:v>56</x:v>
      </x:c>
      <x:c r="D20" s="45" t="s">
        <x:v>52</x:v>
      </x:c>
      <x:c r="E20" s="46" t="s">
        <x:v>40</x:v>
      </x:c>
      <x:c r="F20" s="46">
        <x:v>93463.43</x:v>
      </x:c>
    </x:row>
    <x:row r="21" spans="1:28">
      <x:c r="B21" s="15">
        <x:f>IF(ISBLANK(INDIRECT(ADDRESS(ROW(),3))),"",ROW() - 6)</x:f>
        <x:v>15</x:v>
      </x:c>
      <x:c r="C21" s="44" t="s">
        <x:v>57</x:v>
      </x:c>
      <x:c r="D21" s="45" t="s">
        <x:v>51</x:v>
      </x:c>
      <x:c r="E21" s="46">
        <x:v>18946.25</x:v>
      </x:c>
      <x:c r="F21" s="46" t="s">
        <x:v>40</x:v>
      </x:c>
    </x:row>
    <x:row r="22" spans="1:28">
      <x:c r="B22" s="15">
        <x:f>IF(ISBLANK(INDIRECT(ADDRESS(ROW(),3))),"",ROW() - 6)</x:f>
        <x:v>16</x:v>
      </x:c>
      <x:c r="C22" s="44" t="s">
        <x:v>57</x:v>
      </x:c>
      <x:c r="D22" s="45" t="s">
        <x:v>52</x:v>
      </x:c>
      <x:c r="E22" s="46" t="s">
        <x:v>40</x:v>
      </x:c>
      <x:c r="F22" s="46">
        <x:v>1917.45</x:v>
      </x:c>
    </x:row>
    <x:row r="23" spans="1:28">
      <x:c r="B23" s="15">
        <x:f>IF(ISBLANK(INDIRECT(ADDRESS(ROW(),3))),"",ROW() - 6)</x:f>
        <x:v>17</x:v>
      </x:c>
      <x:c r="C23" s="44" t="s">
        <x:v>58</x:v>
      </x:c>
      <x:c r="D23" s="45" t="s">
        <x:v>48</x:v>
      </x:c>
      <x:c r="E23" s="46" t="s">
        <x:v>40</x:v>
      </x:c>
      <x:c r="F23" s="46">
        <x:v>8886.72</x:v>
      </x:c>
    </x:row>
    <x:row r="24" spans="1:28">
      <x:c r="B24" s="15">
        <x:f>IF(ISBLANK(INDIRECT(ADDRESS(ROW(),3))),"",ROW() - 6)</x:f>
        <x:v>18</x:v>
      </x:c>
      <x:c r="C24" s="44" t="s">
        <x:v>59</x:v>
      </x:c>
      <x:c r="D24" s="45" t="s">
        <x:v>48</x:v>
      </x:c>
      <x:c r="E24" s="46" t="s">
        <x:v>40</x:v>
      </x:c>
      <x:c r="F24" s="46">
        <x:v>103685</x:v>
      </x:c>
    </x:row>
    <x:row r="25" spans="1:28">
      <x:c r="B25" s="15">
        <x:f>IF(ISBLANK(INDIRECT(ADDRESS(ROW(),3))),"",ROW() - 6)</x:f>
        <x:v>19</x:v>
      </x:c>
      <x:c r="C25" s="44" t="s">
        <x:v>60</x:v>
      </x:c>
      <x:c r="D25" s="45" t="s">
        <x:v>61</x:v>
      </x:c>
      <x:c r="E25" s="46" t="s">
        <x:v>40</x:v>
      </x:c>
      <x:c r="F25" s="46">
        <x:v>882</x:v>
      </x:c>
    </x:row>
    <x:row r="26" spans="1:28">
      <x:c r="B26" s="15">
        <x:f>IF(ISBLANK(INDIRECT(ADDRESS(ROW(),3))),"",ROW() - 6)</x:f>
        <x:v>20</x:v>
      </x:c>
      <x:c r="C26" s="44" t="s">
        <x:v>62</x:v>
      </x:c>
      <x:c r="D26" s="45" t="s">
        <x:v>63</x:v>
      </x:c>
      <x:c r="E26" s="46" t="s">
        <x:v>40</x:v>
      </x:c>
      <x:c r="F26" s="46">
        <x:v>8700</x:v>
      </x:c>
    </x:row>
    <x:row r="27" spans="1:28">
      <x:c r="B27" s="15">
        <x:f>IF(ISBLANK(INDIRECT(ADDRESS(ROW(),3))),"",ROW() - 6)</x:f>
        <x:v>21</x:v>
      </x:c>
      <x:c r="C27" s="44" t="s">
        <x:v>64</x:v>
      </x:c>
      <x:c r="D27" s="45" t="s">
        <x:v>65</x:v>
      </x:c>
      <x:c r="E27" s="46" t="s">
        <x:v>40</x:v>
      </x:c>
      <x:c r="F27" s="46">
        <x:v>11962</x:v>
      </x:c>
    </x:row>
    <x:row r="28" spans="1:28">
      <x:c r="B28" s="15">
        <x:f>IF(ISBLANK(INDIRECT(ADDRESS(ROW(),3))),"",ROW() - 6)</x:f>
        <x:v>22</x:v>
      </x:c>
      <x:c r="C28" s="44" t="s">
        <x:v>66</x:v>
      </x:c>
      <x:c r="D28" s="45" t="s">
        <x:v>67</x:v>
      </x:c>
      <x:c r="E28" s="46">
        <x:v>484.96</x:v>
      </x:c>
      <x:c r="F28" s="46" t="s">
        <x:v>40</x:v>
      </x:c>
    </x:row>
    <x:row r="29" spans="1:28">
      <x:c r="B29" s="15">
        <x:f>IF(ISBLANK(INDIRECT(ADDRESS(ROW(),3))),"",ROW() - 6)</x:f>
        <x:v>23</x:v>
      </x:c>
      <x:c r="C29" s="44" t="s">
        <x:v>68</x:v>
      </x:c>
      <x:c r="D29" s="45" t="s">
        <x:v>69</x:v>
      </x:c>
      <x:c r="E29" s="46" t="s">
        <x:v>40</x:v>
      </x:c>
      <x:c r="F29" s="46">
        <x:v>484.96</x:v>
      </x:c>
    </x:row>
    <x:row r="30" spans="1:28">
      <x:c r="B30" s="15">
        <x:f>IF(ISBLANK(INDIRECT(ADDRESS(ROW(),3))),"",ROW() - 6)</x:f>
        <x:v>24</x:v>
      </x:c>
      <x:c r="C30" s="44" t="s">
        <x:v>68</x:v>
      </x:c>
      <x:c r="D30" s="45" t="s">
        <x:v>69</x:v>
      </x:c>
      <x:c r="E30" s="46">
        <x:v>484.96</x:v>
      </x:c>
      <x:c r="F30" s="46" t="s">
        <x:v>40</x:v>
      </x:c>
    </x:row>
    <x:row r="31" spans="1:28">
      <x:c r="B31" s="15">
        <x:f>IF(ISBLANK(INDIRECT(ADDRESS(ROW(),3))),"",ROW() - 6)</x:f>
        <x:v>25</x:v>
      </x:c>
      <x:c r="C31" s="44" t="s">
        <x:v>70</x:v>
      </x:c>
      <x:c r="D31" s="45" t="s">
        <x:v>71</x:v>
      </x:c>
      <x:c r="E31" s="46" t="s">
        <x:v>40</x:v>
      </x:c>
      <x:c r="F31" s="46">
        <x:v>199</x:v>
      </x:c>
    </x:row>
    <x:row r="32" spans="1:28">
      <x:c r="B32" s="15">
        <x:f>IF(ISBLANK(INDIRECT(ADDRESS(ROW(),3))),"",ROW() - 6)</x:f>
        <x:v>26</x:v>
      </x:c>
      <x:c r="C32" s="44" t="s">
        <x:v>72</x:v>
      </x:c>
      <x:c r="D32" s="45" t="s">
        <x:v>73</x:v>
      </x:c>
      <x:c r="E32" s="46" t="s">
        <x:v>40</x:v>
      </x:c>
      <x:c r="F32" s="46">
        <x:v>4444</x:v>
      </x:c>
    </x:row>
    <x:row r="33" spans="1:28">
      <x:c r="B33" s="15">
        <x:f>IF(ISBLANK(INDIRECT(ADDRESS(ROW(),3))),"",ROW() - 6)</x:f>
        <x:v>27</x:v>
      </x:c>
      <x:c r="C33" s="44" t="s">
        <x:v>74</x:v>
      </x:c>
      <x:c r="D33" s="45" t="s">
        <x:v>51</x:v>
      </x:c>
      <x:c r="E33" s="46">
        <x:v>232352</x:v>
      </x:c>
      <x:c r="F33" s="46" t="s">
        <x:v>40</x:v>
      </x:c>
    </x:row>
    <x:row r="34" spans="1:28">
      <x:c r="B34" s="15">
        <x:f>IF(ISBLANK(INDIRECT(ADDRESS(ROW(),3))),"",ROW() - 6)</x:f>
        <x:v>28</x:v>
      </x:c>
      <x:c r="C34" s="44" t="s">
        <x:v>74</x:v>
      </x:c>
      <x:c r="D34" s="45" t="s">
        <x:v>52</x:v>
      </x:c>
      <x:c r="E34" s="46" t="s">
        <x:v>40</x:v>
      </x:c>
      <x:c r="F34" s="46">
        <x:v>95502.54</x:v>
      </x:c>
    </x:row>
    <x:row r="35" spans="1:28">
      <x:c r="B35" s="15">
        <x:f>IF(ISBLANK(INDIRECT(ADDRESS(ROW(),3))),"",ROW() - 6)</x:f>
        <x:v>29</x:v>
      </x:c>
      <x:c r="C35" s="44" t="s">
        <x:v>75</x:v>
      </x:c>
      <x:c r="D35" s="45" t="s">
        <x:v>51</x:v>
      </x:c>
      <x:c r="E35" s="46">
        <x:v>12281.66</x:v>
      </x:c>
      <x:c r="F35" s="46" t="s">
        <x:v>40</x:v>
      </x:c>
    </x:row>
    <x:row r="36" spans="1:28">
      <x:c r="B36" s="15">
        <x:f>IF(ISBLANK(INDIRECT(ADDRESS(ROW(),3))),"",ROW() - 6)</x:f>
        <x:v>30</x:v>
      </x:c>
      <x:c r="C36" s="44" t="s">
        <x:v>75</x:v>
      </x:c>
      <x:c r="D36" s="45" t="s">
        <x:v>52</x:v>
      </x:c>
      <x:c r="E36" s="46" t="s">
        <x:v>40</x:v>
      </x:c>
      <x:c r="F36" s="46">
        <x:v>2401.44</x:v>
      </x:c>
    </x:row>
    <x:row r="37" spans="1:28">
      <x:c r="B37" s="15">
        <x:f>IF(ISBLANK(INDIRECT(ADDRESS(ROW(),3))),"",ROW() - 6)</x:f>
        <x:v>31</x:v>
      </x:c>
      <x:c r="C37" s="44" t="s">
        <x:v>76</x:v>
      </x:c>
      <x:c r="D37" s="45" t="s">
        <x:v>48</x:v>
      </x:c>
      <x:c r="E37" s="46" t="s">
        <x:v>40</x:v>
      </x:c>
      <x:c r="F37" s="46">
        <x:v>6766.99</x:v>
      </x:c>
    </x:row>
    <x:row r="38" spans="1:28">
      <x:c r="B38" s="15">
        <x:f>IF(ISBLANK(INDIRECT(ADDRESS(ROW(),3))),"",ROW() - 6)</x:f>
        <x:v>32</x:v>
      </x:c>
      <x:c r="C38" s="44" t="s">
        <x:v>77</x:v>
      </x:c>
      <x:c r="D38" s="45" t="s">
        <x:v>48</x:v>
      </x:c>
      <x:c r="E38" s="46" t="s">
        <x:v>40</x:v>
      </x:c>
      <x:c r="F38" s="46">
        <x:v>127470</x:v>
      </x:c>
    </x:row>
    <x:row r="39" spans="1:28">
      <x:c r="B39" s="15">
        <x:f>IF(ISBLANK(INDIRECT(ADDRESS(ROW(),3))),"",ROW() - 6)</x:f>
        <x:v>33</x:v>
      </x:c>
      <x:c r="C39" s="44" t="s">
        <x:v>78</x:v>
      </x:c>
      <x:c r="D39" s="45" t="s">
        <x:v>79</x:v>
      </x:c>
      <x:c r="E39" s="46">
        <x:v>181.32</x:v>
      </x:c>
      <x:c r="F39" s="46" t="s">
        <x:v>40</x:v>
      </x:c>
    </x:row>
    <x:row r="40" spans="1:28">
      <x:c r="B40" s="15">
        <x:f>IF(ISBLANK(INDIRECT(ADDRESS(ROW(),3))),"",ROW() - 6)</x:f>
        <x:v>34</x:v>
      </x:c>
      <x:c r="C40" s="44" t="s">
        <x:v>80</x:v>
      </x:c>
      <x:c r="D40" s="45" t="s">
        <x:v>81</x:v>
      </x:c>
      <x:c r="E40" s="46" t="s">
        <x:v>40</x:v>
      </x:c>
      <x:c r="F40" s="46">
        <x:v>1590</x:v>
      </x:c>
    </x:row>
    <x:row r="41" spans="1:28">
      <x:c r="B41" s="15">
        <x:f>IF(ISBLANK(INDIRECT(ADDRESS(ROW(),3))),"",ROW() - 6)</x:f>
        <x:v>35</x:v>
      </x:c>
      <x:c r="C41" s="44" t="s">
        <x:v>82</x:v>
      </x:c>
      <x:c r="D41" s="45" t="s">
        <x:v>51</x:v>
      </x:c>
      <x:c r="E41" s="46">
        <x:v>31623.93</x:v>
      </x:c>
      <x:c r="F41" s="46" t="s">
        <x:v>40</x:v>
      </x:c>
    </x:row>
    <x:row r="42" spans="1:28">
      <x:c r="B42" s="15">
        <x:f>IF(ISBLANK(INDIRECT(ADDRESS(ROW(),3))),"",ROW() - 6)</x:f>
        <x:v>36</x:v>
      </x:c>
      <x:c r="C42" s="44" t="s">
        <x:v>82</x:v>
      </x:c>
      <x:c r="D42" s="45" t="s">
        <x:v>52</x:v>
      </x:c>
      <x:c r="E42" s="46" t="s">
        <x:v>40</x:v>
      </x:c>
      <x:c r="F42" s="46">
        <x:v>3697.46</x:v>
      </x:c>
    </x:row>
    <x:row r="43" spans="1:28">
      <x:c r="B43" s="15">
        <x:f>IF(ISBLANK(INDIRECT(ADDRESS(ROW(),3))),"",ROW() - 6)</x:f>
        <x:v>37</x:v>
      </x:c>
      <x:c r="C43" s="44" t="s">
        <x:v>83</x:v>
      </x:c>
      <x:c r="D43" s="45" t="s">
        <x:v>51</x:v>
      </x:c>
      <x:c r="E43" s="46">
        <x:v>402449</x:v>
      </x:c>
      <x:c r="F43" s="46" t="s">
        <x:v>40</x:v>
      </x:c>
    </x:row>
    <x:row r="44" spans="1:28">
      <x:c r="B44" s="15">
        <x:f>IF(ISBLANK(INDIRECT(ADDRESS(ROW(),3))),"",ROW() - 6)</x:f>
        <x:v>38</x:v>
      </x:c>
      <x:c r="C44" s="44" t="s">
        <x:v>83</x:v>
      </x:c>
      <x:c r="D44" s="45" t="s">
        <x:v>52</x:v>
      </x:c>
      <x:c r="E44" s="46" t="s">
        <x:v>40</x:v>
      </x:c>
      <x:c r="F44" s="46">
        <x:v>109587.97</x:v>
      </x:c>
    </x:row>
    <x:row r="45" spans="1:28">
      <x:c r="B45" s="15">
        <x:f>IF(ISBLANK(INDIRECT(ADDRESS(ROW(),3))),"",ROW() - 6)</x:f>
        <x:v>39</x:v>
      </x:c>
      <x:c r="C45" s="44" t="s">
        <x:v>84</x:v>
      </x:c>
      <x:c r="D45" s="45" t="s">
        <x:v>48</x:v>
      </x:c>
      <x:c r="E45" s="46" t="s">
        <x:v>40</x:v>
      </x:c>
      <x:c r="F45" s="46">
        <x:v>198631</x:v>
      </x:c>
    </x:row>
    <x:row r="46" spans="1:28">
      <x:c r="B46" s="15">
        <x:f>IF(ISBLANK(INDIRECT(ADDRESS(ROW(),3))),"",ROW() - 6)</x:f>
        <x:v>40</x:v>
      </x:c>
      <x:c r="C46" s="44" t="s">
        <x:v>85</x:v>
      </x:c>
      <x:c r="D46" s="45" t="s">
        <x:v>48</x:v>
      </x:c>
      <x:c r="E46" s="46" t="s">
        <x:v>40</x:v>
      </x:c>
      <x:c r="F46" s="46">
        <x:v>18490.83</x:v>
      </x:c>
    </x:row>
    <x:row r="47" spans="1:28">
      <x:c r="B47" s="15">
        <x:f>IF(ISBLANK(INDIRECT(ADDRESS(ROW(),3))),"",ROW() - 6)</x:f>
        <x:v>41</x:v>
      </x:c>
      <x:c r="C47" s="44" t="s">
        <x:v>86</x:v>
      </x:c>
      <x:c r="D47" s="45" t="s">
        <x:v>87</x:v>
      </x:c>
      <x:c r="E47" s="46" t="s">
        <x:v>40</x:v>
      </x:c>
      <x:c r="F47" s="46">
        <x:v>5250</x:v>
      </x:c>
    </x:row>
    <x:row r="48" spans="1:28">
      <x:c r="B48" s="15">
        <x:f>IF(ISBLANK(INDIRECT(ADDRESS(ROW(),3))),"",ROW() - 6)</x:f>
        <x:v>42</x:v>
      </x:c>
      <x:c r="C48" s="44" t="s">
        <x:v>88</x:v>
      </x:c>
      <x:c r="D48" s="45" t="s">
        <x:v>89</x:v>
      </x:c>
      <x:c r="E48" s="46" t="s">
        <x:v>40</x:v>
      </x:c>
      <x:c r="F48" s="46">
        <x:v>42750</x:v>
      </x:c>
    </x:row>
    <x:row r="49" spans="1:28">
      <x:c r="B49" s="15">
        <x:f>IF(ISBLANK(INDIRECT(ADDRESS(ROW(),3))),"",ROW() - 6)</x:f>
        <x:v>43</x:v>
      </x:c>
      <x:c r="C49" s="44" t="s">
        <x:v>90</x:v>
      </x:c>
      <x:c r="D49" s="45" t="s">
        <x:v>91</x:v>
      </x:c>
      <x:c r="E49" s="46" t="s">
        <x:v>40</x:v>
      </x:c>
      <x:c r="F49" s="46">
        <x:v>9750</x:v>
      </x:c>
    </x:row>
    <x:row r="50" spans="1:28">
      <x:c r="B50" s="15">
        <x:f>IF(ISBLANK(INDIRECT(ADDRESS(ROW(),3))),"",ROW() - 6)</x:f>
        <x:v>44</x:v>
      </x:c>
      <x:c r="C50" s="44" t="s">
        <x:v>92</x:v>
      </x:c>
      <x:c r="D50" s="45" t="s">
        <x:v>93</x:v>
      </x:c>
      <x:c r="E50" s="46" t="s">
        <x:v>40</x:v>
      </x:c>
      <x:c r="F50" s="46">
        <x:v>3088</x:v>
      </x:c>
    </x:row>
    <x:row r="51" spans="1:28">
      <x:c r="B51" s="15">
        <x:f>IF(ISBLANK(INDIRECT(ADDRESS(ROW(),3))),"",ROW() - 6)</x:f>
        <x:v>45</x:v>
      </x:c>
      <x:c r="C51" s="44" t="s">
        <x:v>94</x:v>
      </x:c>
      <x:c r="D51" s="45" t="s">
        <x:v>95</x:v>
      </x:c>
      <x:c r="E51" s="46" t="s">
        <x:v>40</x:v>
      </x:c>
      <x:c r="F51" s="46">
        <x:v>8700</x:v>
      </x:c>
    </x:row>
    <x:row r="52" spans="1:28">
      <x:c r="B52" s="15">
        <x:f>IF(ISBLANK(INDIRECT(ADDRESS(ROW(),3))),"",ROW() - 6)</x:f>
        <x:v>46</x:v>
      </x:c>
      <x:c r="C52" s="44" t="s">
        <x:v>96</x:v>
      </x:c>
      <x:c r="D52" s="45" t="s">
        <x:v>97</x:v>
      </x:c>
      <x:c r="E52" s="46" t="s">
        <x:v>40</x:v>
      </x:c>
      <x:c r="F52" s="46">
        <x:v>11963</x:v>
      </x:c>
    </x:row>
    <x:row r="53" spans="1:28">
      <x:c r="B53" s="15">
        <x:f>IF(ISBLANK(INDIRECT(ADDRESS(ROW(),3))),"",ROW() - 6)</x:f>
        <x:v>47</x:v>
      </x:c>
      <x:c r="C53" s="44" t="s">
        <x:v>98</x:v>
      </x:c>
      <x:c r="D53" s="45" t="s">
        <x:v>99</x:v>
      </x:c>
      <x:c r="E53" s="46" t="s">
        <x:v>40</x:v>
      </x:c>
      <x:c r="F53" s="46">
        <x:v>95</x:v>
      </x:c>
    </x:row>
    <x:row r="54" spans="1:28">
      <x:c r="B54" s="15">
        <x:f>IF(ISBLANK(INDIRECT(ADDRESS(ROW(),3))),"",ROW() - 6)</x:f>
        <x:v>48</x:v>
      </x:c>
      <x:c r="C54" s="44" t="s">
        <x:v>100</x:v>
      </x:c>
      <x:c r="D54" s="45" t="s">
        <x:v>101</x:v>
      </x:c>
      <x:c r="E54" s="46" t="s">
        <x:v>40</x:v>
      </x:c>
      <x:c r="F54" s="46">
        <x:v>399</x:v>
      </x:c>
    </x:row>
    <x:row r="55" spans="1:28">
      <x:c r="B55" s="15">
        <x:f>IF(ISBLANK(INDIRECT(ADDRESS(ROW(),3))),"",ROW() - 6)</x:f>
        <x:v>49</x:v>
      </x:c>
      <x:c r="C55" s="44" t="s">
        <x:v>102</x:v>
      </x:c>
      <x:c r="D55" s="45" t="s">
        <x:v>51</x:v>
      </x:c>
      <x:c r="E55" s="46">
        <x:v>517550.99</x:v>
      </x:c>
      <x:c r="F55" s="46" t="s">
        <x:v>40</x:v>
      </x:c>
    </x:row>
    <x:row r="56" spans="1:28">
      <x:c r="B56" s="15">
        <x:f>IF(ISBLANK(INDIRECT(ADDRESS(ROW(),3))),"",ROW() - 6)</x:f>
        <x:v>50</x:v>
      </x:c>
      <x:c r="C56" s="44" t="s">
        <x:v>102</x:v>
      </x:c>
      <x:c r="D56" s="45" t="s">
        <x:v>52</x:v>
      </x:c>
      <x:c r="E56" s="46" t="s">
        <x:v>40</x:v>
      </x:c>
      <x:c r="F56" s="46">
        <x:v>3552.12</x:v>
      </x:c>
    </x:row>
    <x:row r="57" spans="1:28">
      <x:c r="B57" s="15">
        <x:f>IF(ISBLANK(INDIRECT(ADDRESS(ROW(),3))),"",ROW() - 6)</x:f>
        <x:v>51</x:v>
      </x:c>
      <x:c r="C57" s="44" t="s">
        <x:v>103</x:v>
      </x:c>
      <x:c r="D57" s="45" t="s">
        <x:v>67</x:v>
      </x:c>
      <x:c r="E57" s="46">
        <x:v>351.05</x:v>
      </x:c>
      <x:c r="F57" s="46" t="s">
        <x:v>40</x:v>
      </x:c>
    </x:row>
    <x:row r="58" spans="1:28">
      <x:c r="B58" s="15">
        <x:f>IF(ISBLANK(INDIRECT(ADDRESS(ROW(),3))),"",ROW() - 6)</x:f>
        <x:v>52</x:v>
      </x:c>
      <x:c r="C58" s="44" t="s">
        <x:v>102</x:v>
      </x:c>
      <x:c r="D58" s="45" t="s">
        <x:v>104</x:v>
      </x:c>
      <x:c r="E58" s="46" t="s">
        <x:v>40</x:v>
      </x:c>
      <x:c r="F58" s="46">
        <x:v>152423</x:v>
      </x:c>
    </x:row>
    <x:row r="59" spans="1:28">
      <x:c r="B59" s="15">
        <x:f>IF(ISBLANK(INDIRECT(ADDRESS(ROW(),3))),"",ROW() - 6)</x:f>
        <x:v>53</x:v>
      </x:c>
      <x:c r="C59" s="44" t="s">
        <x:v>105</x:v>
      </x:c>
      <x:c r="D59" s="45" t="s">
        <x:v>51</x:v>
      </x:c>
      <x:c r="E59" s="46">
        <x:v>16416.09</x:v>
      </x:c>
      <x:c r="F59" s="46" t="s">
        <x:v>40</x:v>
      </x:c>
    </x:row>
    <x:row r="60" spans="1:28">
      <x:c r="B60" s="15">
        <x:f>IF(ISBLANK(INDIRECT(ADDRESS(ROW(),3))),"",ROW() - 6)</x:f>
        <x:v>54</x:v>
      </x:c>
      <x:c r="C60" s="44" t="s">
        <x:v>105</x:v>
      </x:c>
      <x:c r="D60" s="45" t="s">
        <x:v>52</x:v>
      </x:c>
      <x:c r="E60" s="46" t="s">
        <x:v>40</x:v>
      </x:c>
      <x:c r="F60" s="46">
        <x:v>1934.55</x:v>
      </x:c>
    </x:row>
    <x:row r="61" spans="1:28">
      <x:c r="B61" s="15">
        <x:f>IF(ISBLANK(INDIRECT(ADDRESS(ROW(),3))),"",ROW() - 6)</x:f>
        <x:v>55</x:v>
      </x:c>
      <x:c r="C61" s="44" t="s">
        <x:v>106</x:v>
      </x:c>
      <x:c r="D61" s="45" t="s">
        <x:v>69</x:v>
      </x:c>
      <x:c r="E61" s="46" t="s">
        <x:v>40</x:v>
      </x:c>
      <x:c r="F61" s="46">
        <x:v>351.05</x:v>
      </x:c>
    </x:row>
    <x:row r="62" spans="1:28">
      <x:c r="B62" s="15">
        <x:f>IF(ISBLANK(INDIRECT(ADDRESS(ROW(),3))),"",ROW() - 6)</x:f>
        <x:v>56</x:v>
      </x:c>
      <x:c r="C62" s="44" t="s">
        <x:v>106</x:v>
      </x:c>
      <x:c r="D62" s="45" t="s">
        <x:v>69</x:v>
      </x:c>
      <x:c r="E62" s="46">
        <x:v>351.05</x:v>
      </x:c>
      <x:c r="F62" s="46" t="s">
        <x:v>40</x:v>
      </x:c>
    </x:row>
    <x:row r="63" spans="1:28">
      <x:c r="B63" s="15">
        <x:f>IF(ISBLANK(INDIRECT(ADDRESS(ROW(),3))),"",ROW() - 6)</x:f>
        <x:v>57</x:v>
      </x:c>
      <x:c r="C63" s="44" t="s">
        <x:v>107</x:v>
      </x:c>
      <x:c r="D63" s="45" t="s">
        <x:v>39</x:v>
      </x:c>
      <x:c r="E63" s="46" t="s">
        <x:v>40</x:v>
      </x:c>
      <x:c r="F63" s="46">
        <x:v>128546.74</x:v>
      </x:c>
    </x:row>
    <x:row r="64" spans="1:28">
      <x:c r="B64" s="15">
        <x:f>IF(ISBLANK(INDIRECT(ADDRESS(ROW(),3))),"",ROW() - 6)</x:f>
        <x:v>58</x:v>
      </x:c>
      <x:c r="C64" s="44" t="s">
        <x:v>108</x:v>
      </x:c>
      <x:c r="D64" s="45" t="s">
        <x:v>42</x:v>
      </x:c>
      <x:c r="E64" s="46" t="s">
        <x:v>40</x:v>
      </x:c>
      <x:c r="F64" s="46">
        <x:v>13502.45</x:v>
      </x:c>
    </x:row>
    <x:row r="65" spans="1:28">
      <x:c r="B65" s="15">
        <x:f>IF(ISBLANK(INDIRECT(ADDRESS(ROW(),3))),"",ROW() - 6)</x:f>
        <x:v>59</x:v>
      </x:c>
      <x:c r="C65" s="44" t="s">
        <x:v>109</x:v>
      </x:c>
      <x:c r="D65" s="45" t="s">
        <x:v>44</x:v>
      </x:c>
      <x:c r="E65" s="46">
        <x:v>982</x:v>
      </x:c>
      <x:c r="F65" s="46" t="s">
        <x:v>40</x:v>
      </x:c>
    </x:row>
    <x:row r="66" spans="1:28">
      <x:c r="B66" s="15">
        <x:f>IF(ISBLANK(INDIRECT(ADDRESS(ROW(),3))),"",ROW() - 6)</x:f>
        <x:v>60</x:v>
      </x:c>
      <x:c r="C66" s="44" t="s">
        <x:v>110</x:v>
      </x:c>
      <x:c r="D66" s="45" t="s">
        <x:v>46</x:v>
      </x:c>
      <x:c r="E66" s="46" t="s">
        <x:v>40</x:v>
      </x:c>
      <x:c r="F66" s="46">
        <x:v>5557.01</x:v>
      </x:c>
    </x:row>
    <x:row r="67" spans="1:28">
      <x:c r="B67" s="15">
        <x:f>IF(ISBLANK(INDIRECT(ADDRESS(ROW(),3))),"",ROW() - 6)</x:f>
        <x:v>61</x:v>
      </x:c>
      <x:c r="C67" s="44" t="s">
        <x:v>111</x:v>
      </x:c>
      <x:c r="D67" s="45" t="s">
        <x:v>112</x:v>
      </x:c>
      <x:c r="E67" s="46" t="s">
        <x:v>40</x:v>
      </x:c>
      <x:c r="F67" s="46">
        <x:v>791.08</x:v>
      </x:c>
    </x:row>
    <x:row r="68" spans="1:28">
      <x:c r="B68" s="15">
        <x:f>IF(ISBLANK(INDIRECT(ADDRESS(ROW(),3))),"",ROW() - 6)</x:f>
        <x:v>62</x:v>
      </x:c>
      <x:c r="C68" s="44" t="s">
        <x:v>113</x:v>
      </x:c>
      <x:c r="D68" s="45" t="s">
        <x:v>114</x:v>
      </x:c>
      <x:c r="E68" s="46">
        <x:v>210.58</x:v>
      </x:c>
      <x:c r="F68" s="46" t="s">
        <x:v>40</x:v>
      </x:c>
    </x:row>
    <x:row r="69" spans="1:28">
      <x:c r="B69" s="15">
        <x:f>IF(ISBLANK(INDIRECT(ADDRESS(ROW(),3))),"",ROW() - 6)</x:f>
        <x:v>63</x:v>
      </x:c>
      <x:c r="C69" s="44" t="s">
        <x:v>115</x:v>
      </x:c>
      <x:c r="D69" s="45" t="s">
        <x:v>116</x:v>
      </x:c>
      <x:c r="E69" s="46">
        <x:v>576.45</x:v>
      </x:c>
      <x:c r="F69" s="46" t="s">
        <x:v>40</x:v>
      </x:c>
    </x:row>
    <x:row r="70" spans="1:28">
      <x:c r="B70" s="15">
        <x:f>IF(ISBLANK(INDIRECT(ADDRESS(ROW(),3))),"",ROW() - 6)</x:f>
        <x:v>64</x:v>
      </x:c>
      <x:c r="C70" s="44" t="s">
        <x:v>117</x:v>
      </x:c>
      <x:c r="D70" s="45" t="s">
        <x:v>118</x:v>
      </x:c>
      <x:c r="E70" s="46" t="s">
        <x:v>40</x:v>
      </x:c>
      <x:c r="F70" s="46">
        <x:v>21510</x:v>
      </x:c>
    </x:row>
    <x:row r="71" spans="1:28">
      <x:c r="B71" s="15">
        <x:f>IF(ISBLANK(INDIRECT(ADDRESS(ROW(),3))),"",ROW() - 6)</x:f>
        <x:v>65</x:v>
      </x:c>
      <x:c r="C71" s="44" t="s">
        <x:v>119</x:v>
      </x:c>
      <x:c r="D71" s="45" t="s">
        <x:v>51</x:v>
      </x:c>
      <x:c r="E71" s="46">
        <x:v>310846</x:v>
      </x:c>
      <x:c r="F71" s="46" t="s">
        <x:v>40</x:v>
      </x:c>
    </x:row>
    <x:row r="72" spans="1:28">
      <x:c r="B72" s="15">
        <x:f>IF(ISBLANK(INDIRECT(ADDRESS(ROW(),3))),"",ROW() - 6)</x:f>
        <x:v>66</x:v>
      </x:c>
      <x:c r="C72" s="44" t="s">
        <x:v>119</x:v>
      </x:c>
      <x:c r="D72" s="45" t="s">
        <x:v>52</x:v>
      </x:c>
      <x:c r="E72" s="46" t="s">
        <x:v>40</x:v>
      </x:c>
      <x:c r="F72" s="46">
        <x:v>89299.13</x:v>
      </x:c>
    </x:row>
    <x:row r="73" spans="1:28">
      <x:c r="B73" s="15">
        <x:f>IF(ISBLANK(INDIRECT(ADDRESS(ROW(),3))),"",ROW() - 6)</x:f>
        <x:v>67</x:v>
      </x:c>
      <x:c r="C73" s="44" t="s">
        <x:v>120</x:v>
      </x:c>
      <x:c r="D73" s="45" t="s">
        <x:v>48</x:v>
      </x:c>
      <x:c r="E73" s="46" t="s">
        <x:v>40</x:v>
      </x:c>
      <x:c r="F73" s="46">
        <x:v>143115</x:v>
      </x:c>
    </x:row>
    <x:row r="74" spans="1:28">
      <x:c r="B74" s="15">
        <x:f>IF(ISBLANK(INDIRECT(ADDRESS(ROW(),3))),"",ROW() - 6)</x:f>
        <x:v>68</x:v>
      </x:c>
      <x:c r="C74" s="44" t="s">
        <x:v>121</x:v>
      </x:c>
      <x:c r="D74" s="45" t="s">
        <x:v>48</x:v>
      </x:c>
      <x:c r="E74" s="46" t="s">
        <x:v>40</x:v>
      </x:c>
      <x:c r="F74" s="46">
        <x:v>7883.35</x:v>
      </x:c>
    </x:row>
    <x:row r="75" spans="1:28">
      <x:c r="B75" s="15">
        <x:f>IF(ISBLANK(INDIRECT(ADDRESS(ROW(),3))),"",ROW() - 6)</x:f>
        <x:v>69</x:v>
      </x:c>
      <x:c r="C75" s="44" t="s">
        <x:v>122</x:v>
      </x:c>
      <x:c r="D75" s="45" t="s">
        <x:v>123</x:v>
      </x:c>
      <x:c r="E75" s="46">
        <x:v>1738.3</x:v>
      </x:c>
      <x:c r="F75" s="46" t="s">
        <x:v>40</x:v>
      </x:c>
    </x:row>
    <x:row r="76" spans="1:28">
      <x:c r="B76" s="15">
        <x:f>IF(ISBLANK(INDIRECT(ADDRESS(ROW(),3))),"",ROW() - 6)</x:f>
        <x:v>70</x:v>
      </x:c>
      <x:c r="C76" s="44" t="s">
        <x:v>124</x:v>
      </x:c>
      <x:c r="D76" s="45" t="s">
        <x:v>93</x:v>
      </x:c>
      <x:c r="E76" s="46" t="s">
        <x:v>40</x:v>
      </x:c>
      <x:c r="F76" s="46">
        <x:v>3087</x:v>
      </x:c>
    </x:row>
    <x:row r="77" spans="1:28">
      <x:c r="B77" s="15">
        <x:f>IF(ISBLANK(INDIRECT(ADDRESS(ROW(),3))),"",ROW() - 6)</x:f>
        <x:v>71</x:v>
      </x:c>
      <x:c r="C77" s="44" t="s">
        <x:v>125</x:v>
      </x:c>
      <x:c r="D77" s="45" t="s">
        <x:v>126</x:v>
      </x:c>
      <x:c r="E77" s="46" t="s">
        <x:v>40</x:v>
      </x:c>
      <x:c r="F77" s="46">
        <x:v>49794.19</x:v>
      </x:c>
    </x:row>
    <x:row r="78" spans="1:28">
      <x:c r="B78" s="15">
        <x:f>IF(ISBLANK(INDIRECT(ADDRESS(ROW(),3))),"",ROW() - 6)</x:f>
        <x:v>72</x:v>
      </x:c>
      <x:c r="C78" s="44" t="s">
        <x:v>127</x:v>
      </x:c>
      <x:c r="D78" s="45" t="s">
        <x:v>51</x:v>
      </x:c>
      <x:c r="E78" s="46">
        <x:v>344025</x:v>
      </x:c>
      <x:c r="F78" s="46" t="s">
        <x:v>40</x:v>
      </x:c>
    </x:row>
    <x:row r="79" spans="1:28">
      <x:c r="B79" s="15">
        <x:f>IF(ISBLANK(INDIRECT(ADDRESS(ROW(),3))),"",ROW() - 6)</x:f>
        <x:v>73</x:v>
      </x:c>
      <x:c r="C79" s="44" t="s">
        <x:v>127</x:v>
      </x:c>
      <x:c r="D79" s="45" t="s">
        <x:v>52</x:v>
      </x:c>
      <x:c r="E79" s="46" t="s">
        <x:v>40</x:v>
      </x:c>
      <x:c r="F79" s="46">
        <x:v>148989.02</x:v>
      </x:c>
    </x:row>
    <x:row r="80" spans="1:28">
      <x:c r="B80" s="15">
        <x:f>IF(ISBLANK(INDIRECT(ADDRESS(ROW(),3))),"",ROW() - 6)</x:f>
        <x:v>74</x:v>
      </x:c>
      <x:c r="C80" s="44" t="s">
        <x:v>128</x:v>
      </x:c>
      <x:c r="D80" s="45" t="s">
        <x:v>51</x:v>
      </x:c>
      <x:c r="E80" s="46">
        <x:v>21753.76</x:v>
      </x:c>
      <x:c r="F80" s="46" t="s">
        <x:v>40</x:v>
      </x:c>
    </x:row>
    <x:row r="81" spans="1:28">
      <x:c r="B81" s="15">
        <x:f>IF(ISBLANK(INDIRECT(ADDRESS(ROW(),3))),"",ROW() - 6)</x:f>
        <x:v>75</x:v>
      </x:c>
      <x:c r="C81" s="44" t="s">
        <x:v>128</x:v>
      </x:c>
      <x:c r="D81" s="45" t="s">
        <x:v>52</x:v>
      </x:c>
      <x:c r="E81" s="46" t="s">
        <x:v>40</x:v>
      </x:c>
      <x:c r="F81" s="46">
        <x:v>1861.81</x:v>
      </x:c>
    </x:row>
    <x:row r="82" spans="1:28">
      <x:c r="B82" s="15">
        <x:f>IF(ISBLANK(INDIRECT(ADDRESS(ROW(),3))),"",ROW() - 6)</x:f>
        <x:v>76</x:v>
      </x:c>
      <x:c r="C82" s="44" t="s">
        <x:v>129</x:v>
      </x:c>
      <x:c r="D82" s="45" t="s">
        <x:v>130</x:v>
      </x:c>
      <x:c r="E82" s="46" t="s">
        <x:v>40</x:v>
      </x:c>
      <x:c r="F82" s="46">
        <x:v>3954</x:v>
      </x:c>
    </x:row>
    <x:row r="83" spans="1:28">
      <x:c r="B83" s="15">
        <x:f>IF(ISBLANK(INDIRECT(ADDRESS(ROW(),3))),"",ROW() - 6)</x:f>
        <x:v>77</x:v>
      </x:c>
      <x:c r="C83" s="44" t="s">
        <x:v>131</x:v>
      </x:c>
      <x:c r="D83" s="45" t="s">
        <x:v>48</x:v>
      </x:c>
      <x:c r="E83" s="46" t="s">
        <x:v>40</x:v>
      </x:c>
      <x:c r="F83" s="46">
        <x:v>129044</x:v>
      </x:c>
    </x:row>
    <x:row r="84" spans="1:28">
      <x:c r="B84" s="15">
        <x:f>IF(ISBLANK(INDIRECT(ADDRESS(ROW(),3))),"",ROW() - 6)</x:f>
        <x:v>78</x:v>
      </x:c>
      <x:c r="C84" s="44" t="s">
        <x:v>132</x:v>
      </x:c>
      <x:c r="D84" s="45" t="s">
        <x:v>48</x:v>
      </x:c>
      <x:c r="E84" s="46" t="s">
        <x:v>40</x:v>
      </x:c>
      <x:c r="F84" s="46">
        <x:v>6034.5</x:v>
      </x:c>
    </x:row>
    <x:row r="85" spans="1:28">
      <x:c r="B85" s="15">
        <x:f>IF(ISBLANK(INDIRECT(ADDRESS(ROW(),3))),"",ROW() - 6)</x:f>
        <x:v>79</x:v>
      </x:c>
      <x:c r="C85" s="44" t="s">
        <x:v>133</x:v>
      </x:c>
      <x:c r="D85" s="45" t="s">
        <x:v>134</x:v>
      </x:c>
      <x:c r="E85" s="46" t="s">
        <x:v>40</x:v>
      </x:c>
      <x:c r="F85" s="46">
        <x:v>8700</x:v>
      </x:c>
    </x:row>
    <x:row r="86" spans="1:28">
      <x:c r="B86" s="15">
        <x:f>IF(ISBLANK(INDIRECT(ADDRESS(ROW(),3))),"",ROW() - 6)</x:f>
        <x:v>80</x:v>
      </x:c>
      <x:c r="C86" s="44" t="s">
        <x:v>135</x:v>
      </x:c>
      <x:c r="D86" s="45" t="s">
        <x:v>136</x:v>
      </x:c>
      <x:c r="E86" s="46" t="s">
        <x:v>40</x:v>
      </x:c>
      <x:c r="F86" s="46">
        <x:v>11962</x:v>
      </x:c>
    </x:row>
    <x:row r="87" spans="1:28">
      <x:c r="B87" s="15">
        <x:f>IF(ISBLANK(INDIRECT(ADDRESS(ROW(),3))),"",ROW() - 6)</x:f>
        <x:v>81</x:v>
      </x:c>
      <x:c r="C87" s="44" t="s">
        <x:v>137</x:v>
      </x:c>
      <x:c r="D87" s="45" t="s">
        <x:v>51</x:v>
      </x:c>
      <x:c r="E87" s="46">
        <x:v>21999.59</x:v>
      </x:c>
      <x:c r="F87" s="46" t="s">
        <x:v>40</x:v>
      </x:c>
    </x:row>
    <x:row r="88" spans="1:28">
      <x:c r="B88" s="15">
        <x:f>IF(ISBLANK(INDIRECT(ADDRESS(ROW(),3))),"",ROW() - 6)</x:f>
        <x:v>82</x:v>
      </x:c>
      <x:c r="C88" s="44" t="s">
        <x:v>137</x:v>
      </x:c>
      <x:c r="D88" s="45" t="s">
        <x:v>52</x:v>
      </x:c>
      <x:c r="E88" s="46" t="s">
        <x:v>40</x:v>
      </x:c>
      <x:c r="F88" s="46">
        <x:v>925.6</x:v>
      </x:c>
    </x:row>
    <x:row r="89" spans="1:28">
      <x:c r="B89" s="15">
        <x:f>IF(ISBLANK(INDIRECT(ADDRESS(ROW(),3))),"",ROW() - 6)</x:f>
        <x:v>83</x:v>
      </x:c>
      <x:c r="C89" s="44" t="s">
        <x:v>138</x:v>
      </x:c>
      <x:c r="D89" s="45" t="s">
        <x:v>51</x:v>
      </x:c>
      <x:c r="E89" s="46">
        <x:v>325121</x:v>
      </x:c>
      <x:c r="F89" s="46" t="s">
        <x:v>40</x:v>
      </x:c>
    </x:row>
    <x:row r="90" spans="1:28">
      <x:c r="B90" s="15">
        <x:f>IF(ISBLANK(INDIRECT(ADDRESS(ROW(),3))),"",ROW() - 6)</x:f>
        <x:v>84</x:v>
      </x:c>
      <x:c r="C90" s="44" t="s">
        <x:v>138</x:v>
      </x:c>
      <x:c r="D90" s="45" t="s">
        <x:v>52</x:v>
      </x:c>
      <x:c r="E90" s="46" t="s">
        <x:v>40</x:v>
      </x:c>
      <x:c r="F90" s="46">
        <x:v>76576.68</x:v>
      </x:c>
    </x:row>
    <x:row r="91" spans="1:28">
      <x:c r="B91" s="15">
        <x:f>IF(ISBLANK(INDIRECT(ADDRESS(ROW(),3))),"",ROW() - 6)</x:f>
        <x:v>85</x:v>
      </x:c>
      <x:c r="C91" s="44" t="s">
        <x:v>139</x:v>
      </x:c>
      <x:c r="D91" s="45" t="s">
        <x:v>67</x:v>
      </x:c>
      <x:c r="E91" s="46">
        <x:v>1007.13</x:v>
      </x:c>
      <x:c r="F91" s="46" t="s">
        <x:v>40</x:v>
      </x:c>
    </x:row>
    <x:row r="92" spans="1:28">
      <x:c r="B92" s="15">
        <x:f>IF(ISBLANK(INDIRECT(ADDRESS(ROW(),3))),"",ROW() - 6)</x:f>
        <x:v>86</x:v>
      </x:c>
      <x:c r="C92" s="44" t="s">
        <x:v>140</x:v>
      </x:c>
      <x:c r="D92" s="45" t="s">
        <x:v>69</x:v>
      </x:c>
      <x:c r="E92" s="46" t="s">
        <x:v>40</x:v>
      </x:c>
      <x:c r="F92" s="46">
        <x:v>1007.13</x:v>
      </x:c>
    </x:row>
    <x:row r="93" spans="1:28">
      <x:c r="B93" s="15">
        <x:f>IF(ISBLANK(INDIRECT(ADDRESS(ROW(),3))),"",ROW() - 6)</x:f>
        <x:v>87</x:v>
      </x:c>
      <x:c r="C93" s="44" t="s">
        <x:v>140</x:v>
      </x:c>
      <x:c r="D93" s="45" t="s">
        <x:v>69</x:v>
      </x:c>
      <x:c r="E93" s="46">
        <x:v>1007.13</x:v>
      </x:c>
      <x:c r="F93" s="46" t="s">
        <x:v>40</x:v>
      </x:c>
    </x:row>
    <x:row r="94" spans="1:28">
      <x:c r="B94" s="15">
        <x:f>IF(ISBLANK(INDIRECT(ADDRESS(ROW(),3))),"",ROW() - 6)</x:f>
        <x:v>88</x:v>
      </x:c>
      <x:c r="C94" s="44" t="s">
        <x:v>141</x:v>
      </x:c>
      <x:c r="D94" s="45" t="s">
        <x:v>48</x:v>
      </x:c>
      <x:c r="E94" s="46" t="s">
        <x:v>40</x:v>
      </x:c>
      <x:c r="F94" s="46">
        <x:v>8995.37</x:v>
      </x:c>
    </x:row>
    <x:row r="95" spans="1:28">
      <x:c r="B95" s="15">
        <x:f>IF(ISBLANK(INDIRECT(ADDRESS(ROW(),3))),"",ROW() - 6)</x:f>
        <x:v>89</x:v>
      </x:c>
      <x:c r="C95" s="44" t="s">
        <x:v>142</x:v>
      </x:c>
      <x:c r="D95" s="45" t="s">
        <x:v>48</x:v>
      </x:c>
      <x:c r="E95" s="46" t="s">
        <x:v>40</x:v>
      </x:c>
      <x:c r="F95" s="46">
        <x:v>129489</x:v>
      </x:c>
    </x:row>
    <x:row r="96" spans="1:28">
      <x:c r="B96" s="15">
        <x:f>IF(ISBLANK(INDIRECT(ADDRESS(ROW(),3))),"",ROW() - 6)</x:f>
        <x:v>90</x:v>
      </x:c>
      <x:c r="C96" s="44" t="s">
        <x:v>143</x:v>
      </x:c>
      <x:c r="D96" s="45" t="s">
        <x:v>144</x:v>
      </x:c>
      <x:c r="E96" s="46" t="s">
        <x:v>40</x:v>
      </x:c>
      <x:c r="F96" s="46">
        <x:v>199</x:v>
      </x:c>
    </x:row>
    <x:row r="97" spans="1:28">
      <x:c r="B97" s="15">
        <x:f>IF(ISBLANK(INDIRECT(ADDRESS(ROW(),3))),"",ROW() - 6)</x:f>
        <x:v>91</x:v>
      </x:c>
      <x:c r="C97" s="44" t="s">
        <x:v>145</x:v>
      </x:c>
      <x:c r="D97" s="45" t="s">
        <x:v>51</x:v>
      </x:c>
      <x:c r="E97" s="46">
        <x:v>303879</x:v>
      </x:c>
      <x:c r="F97" s="46" t="s">
        <x:v>40</x:v>
      </x:c>
    </x:row>
    <x:row r="98" spans="1:28">
      <x:c r="B98" s="15">
        <x:f>IF(ISBLANK(INDIRECT(ADDRESS(ROW(),3))),"",ROW() - 6)</x:f>
        <x:v>92</x:v>
      </x:c>
      <x:c r="C98" s="44" t="s">
        <x:v>145</x:v>
      </x:c>
      <x:c r="D98" s="45" t="s">
        <x:v>52</x:v>
      </x:c>
      <x:c r="E98" s="46" t="s">
        <x:v>40</x:v>
      </x:c>
      <x:c r="F98" s="46">
        <x:v>70455.82</x:v>
      </x:c>
    </x:row>
    <x:row r="99" spans="1:28">
      <x:c r="B99" s="15">
        <x:f>IF(ISBLANK(INDIRECT(ADDRESS(ROW(),3))),"",ROW() - 6)</x:f>
        <x:v>93</x:v>
      </x:c>
      <x:c r="C99" s="44" t="s">
        <x:v>146</x:v>
      </x:c>
      <x:c r="D99" s="45" t="s">
        <x:v>51</x:v>
      </x:c>
      <x:c r="E99" s="46">
        <x:v>12458.91</x:v>
      </x:c>
      <x:c r="F99" s="46" t="s">
        <x:v>40</x:v>
      </x:c>
    </x:row>
    <x:row r="100" spans="1:28">
      <x:c r="B100" s="15">
        <x:f>IF(ISBLANK(INDIRECT(ADDRESS(ROW(),3))),"",ROW() - 6)</x:f>
        <x:v>94</x:v>
      </x:c>
      <x:c r="C100" s="44" t="s">
        <x:v>146</x:v>
      </x:c>
      <x:c r="D100" s="45" t="s">
        <x:v>52</x:v>
      </x:c>
      <x:c r="E100" s="46" t="s">
        <x:v>40</x:v>
      </x:c>
      <x:c r="F100" s="46">
        <x:v>1315.94</x:v>
      </x:c>
    </x:row>
    <x:row r="101" spans="1:28">
      <x:c r="B101" s="15">
        <x:f>IF(ISBLANK(INDIRECT(ADDRESS(ROW(),3))),"",ROW() - 6)</x:f>
        <x:v>95</x:v>
      </x:c>
      <x:c r="C101" s="44" t="s">
        <x:v>147</x:v>
      </x:c>
      <x:c r="D101" s="45" t="s">
        <x:v>48</x:v>
      </x:c>
      <x:c r="E101" s="46" t="s">
        <x:v>40</x:v>
      </x:c>
      <x:c r="F101" s="46">
        <x:v>3953</x:v>
      </x:c>
    </x:row>
    <x:row r="102" spans="1:28">
      <x:c r="B102" s="15">
        <x:f>IF(ISBLANK(INDIRECT(ADDRESS(ROW(),3))),"",ROW() - 6)</x:f>
        <x:v>96</x:v>
      </x:c>
      <x:c r="C102" s="44" t="s">
        <x:v>148</x:v>
      </x:c>
      <x:c r="D102" s="45" t="s">
        <x:v>48</x:v>
      </x:c>
      <x:c r="E102" s="46" t="s">
        <x:v>40</x:v>
      </x:c>
      <x:c r="F102" s="46">
        <x:v>119008</x:v>
      </x:c>
    </x:row>
    <x:row r="103" spans="1:28">
      <x:c r="B103" s="15">
        <x:f>IF(ISBLANK(INDIRECT(ADDRESS(ROW(),3))),"",ROW() - 6)</x:f>
        <x:v>97</x:v>
      </x:c>
      <x:c r="C103" s="44" t="s">
        <x:v>149</x:v>
      </x:c>
      <x:c r="D103" s="45" t="s">
        <x:v>150</x:v>
      </x:c>
      <x:c r="E103" s="46">
        <x:v>893.42</x:v>
      </x:c>
      <x:c r="F103" s="46" t="s">
        <x:v>40</x:v>
      </x:c>
    </x:row>
    <x:row r="104" spans="1:28">
      <x:c r="B104" s="15">
        <x:f>IF(ISBLANK(INDIRECT(ADDRESS(ROW(),3))),"",ROW() - 6)</x:f>
        <x:v>98</x:v>
      </x:c>
      <x:c r="C104" s="44" t="s">
        <x:v>151</x:v>
      </x:c>
      <x:c r="D104" s="45" t="s">
        <x:v>152</x:v>
      </x:c>
      <x:c r="E104" s="46" t="s">
        <x:v>40</x:v>
      </x:c>
      <x:c r="F104" s="46">
        <x:v>1590</x:v>
      </x:c>
    </x:row>
    <x:row r="105" spans="1:28">
      <x:c r="B105" s="15">
        <x:f>IF(ISBLANK(INDIRECT(ADDRESS(ROW(),3))),"",ROW() - 6)</x:f>
        <x:v>99</x:v>
      </x:c>
      <x:c r="C105" s="44" t="s">
        <x:v>153</x:v>
      </x:c>
      <x:c r="D105" s="45" t="s">
        <x:v>154</x:v>
      </x:c>
      <x:c r="E105" s="46" t="s">
        <x:v>40</x:v>
      </x:c>
      <x:c r="F105" s="46">
        <x:v>34084.27</x:v>
      </x:c>
    </x:row>
    <x:row r="106" spans="1:28">
      <x:c r="B106" s="15">
        <x:f>IF(ISBLANK(INDIRECT(ADDRESS(ROW(),3))),"",ROW() - 6)</x:f>
        <x:v>100</x:v>
      </x:c>
      <x:c r="C106" s="44" t="s">
        <x:v>155</x:v>
      </x:c>
      <x:c r="D106" s="45" t="s">
        <x:v>156</x:v>
      </x:c>
      <x:c r="E106" s="46" t="s">
        <x:v>40</x:v>
      </x:c>
      <x:c r="F106" s="46">
        <x:v>11963</x:v>
      </x:c>
    </x:row>
    <x:row r="107" spans="1:28">
      <x:c r="B107" s="15">
        <x:f>IF(ISBLANK(INDIRECT(ADDRESS(ROW(),3))),"",ROW() - 6)</x:f>
        <x:v>101</x:v>
      </x:c>
      <x:c r="C107" s="44" t="s">
        <x:v>157</x:v>
      </x:c>
      <x:c r="D107" s="45" t="s">
        <x:v>158</x:v>
      </x:c>
      <x:c r="E107" s="46" t="s">
        <x:v>40</x:v>
      </x:c>
      <x:c r="F107" s="46">
        <x:v>8700</x:v>
      </x:c>
    </x:row>
    <x:row r="108" spans="1:28">
      <x:c r="B108" s="15">
        <x:f>IF(ISBLANK(INDIRECT(ADDRESS(ROW(),3))),"",ROW() - 6)</x:f>
        <x:v>102</x:v>
      </x:c>
      <x:c r="C108" s="44" t="s">
        <x:v>159</x:v>
      </x:c>
      <x:c r="D108" s="45" t="s">
        <x:v>67</x:v>
      </x:c>
      <x:c r="E108" s="46">
        <x:v>1685.04</x:v>
      </x:c>
      <x:c r="F108" s="46" t="s">
        <x:v>40</x:v>
      </x:c>
    </x:row>
    <x:row r="109" spans="1:28">
      <x:c r="B109" s="15">
        <x:f>IF(ISBLANK(INDIRECT(ADDRESS(ROW(),3))),"",ROW() - 6)</x:f>
        <x:v>103</x:v>
      </x:c>
      <x:c r="C109" s="44" t="s">
        <x:v>160</x:v>
      </x:c>
      <x:c r="D109" s="45" t="s">
        <x:v>51</x:v>
      </x:c>
      <x:c r="E109" s="46">
        <x:v>646861.54</x:v>
      </x:c>
      <x:c r="F109" s="46" t="s">
        <x:v>40</x:v>
      </x:c>
    </x:row>
    <x:row r="110" spans="1:28">
      <x:c r="B110" s="15">
        <x:f>IF(ISBLANK(INDIRECT(ADDRESS(ROW(),3))),"",ROW() - 6)</x:f>
        <x:v>104</x:v>
      </x:c>
      <x:c r="C110" s="44" t="s">
        <x:v>160</x:v>
      </x:c>
      <x:c r="D110" s="45" t="s">
        <x:v>52</x:v>
      </x:c>
      <x:c r="E110" s="46" t="s">
        <x:v>40</x:v>
      </x:c>
      <x:c r="F110" s="46">
        <x:v>9984.88</x:v>
      </x:c>
    </x:row>
    <x:row r="111" spans="1:28">
      <x:c r="B111" s="15">
        <x:f>IF(ISBLANK(INDIRECT(ADDRESS(ROW(),3))),"",ROW() - 6)</x:f>
        <x:v>105</x:v>
      </x:c>
      <x:c r="C111" s="44" t="s">
        <x:v>161</x:v>
      </x:c>
      <x:c r="D111" s="45" t="s">
        <x:v>104</x:v>
      </x:c>
      <x:c r="E111" s="46" t="s">
        <x:v>40</x:v>
      </x:c>
      <x:c r="F111" s="46">
        <x:v>216482</x:v>
      </x:c>
    </x:row>
    <x:row r="112" spans="1:28">
      <x:c r="B112" s="15">
        <x:f>IF(ISBLANK(INDIRECT(ADDRESS(ROW(),3))),"",ROW() - 6)</x:f>
        <x:v>106</x:v>
      </x:c>
      <x:c r="C112" s="44" t="s">
        <x:v>162</x:v>
      </x:c>
      <x:c r="D112" s="45" t="s">
        <x:v>163</x:v>
      </x:c>
      <x:c r="E112" s="46" t="s">
        <x:v>40</x:v>
      </x:c>
      <x:c r="F112" s="46">
        <x:v>399</x:v>
      </x:c>
    </x:row>
    <x:row r="113" spans="1:28">
      <x:c r="B113" s="15">
        <x:f>IF(ISBLANK(INDIRECT(ADDRESS(ROW(),3))),"",ROW() - 6)</x:f>
        <x:v>107</x:v>
      </x:c>
      <x:c r="C113" s="44" t="s">
        <x:v>164</x:v>
      </x:c>
      <x:c r="D113" s="45" t="s">
        <x:v>69</x:v>
      </x:c>
      <x:c r="E113" s="46" t="s">
        <x:v>40</x:v>
      </x:c>
      <x:c r="F113" s="46">
        <x:v>1685.04</x:v>
      </x:c>
    </x:row>
    <x:row r="114" spans="1:28">
      <x:c r="B114" s="15">
        <x:f>IF(ISBLANK(INDIRECT(ADDRESS(ROW(),3))),"",ROW() - 6)</x:f>
        <x:v>108</x:v>
      </x:c>
      <x:c r="C114" s="44" t="s">
        <x:v>164</x:v>
      </x:c>
      <x:c r="D114" s="45" t="s">
        <x:v>69</x:v>
      </x:c>
      <x:c r="E114" s="46">
        <x:v>1685.04</x:v>
      </x:c>
      <x:c r="F114" s="46" t="s">
        <x:v>40</x:v>
      </x:c>
    </x:row>
    <x:row r="115" spans="1:28">
      <x:c r="B115" s="15">
        <x:f>IF(ISBLANK(INDIRECT(ADDRESS(ROW(),3))),"",ROW() - 6)</x:f>
        <x:v>109</x:v>
      </x:c>
      <x:c r="C115" s="44" t="s">
        <x:v>165</x:v>
      </x:c>
      <x:c r="D115" s="45" t="s">
        <x:v>39</x:v>
      </x:c>
      <x:c r="E115" s="46" t="s">
        <x:v>40</x:v>
      </x:c>
      <x:c r="F115" s="46">
        <x:v>236664.75</x:v>
      </x:c>
    </x:row>
    <x:row r="116" spans="1:28">
      <x:c r="B116" s="15">
        <x:f>IF(ISBLANK(INDIRECT(ADDRESS(ROW(),3))),"",ROW() - 6)</x:f>
        <x:v>110</x:v>
      </x:c>
      <x:c r="C116" s="44" t="s">
        <x:v>166</x:v>
      </x:c>
      <x:c r="D116" s="45" t="s">
        <x:v>42</x:v>
      </x:c>
      <x:c r="E116" s="46" t="s">
        <x:v>40</x:v>
      </x:c>
      <x:c r="F116" s="46">
        <x:v>28260.11</x:v>
      </x:c>
    </x:row>
    <x:row r="117" spans="1:28">
      <x:c r="B117" s="15">
        <x:f>IF(ISBLANK(INDIRECT(ADDRESS(ROW(),3))),"",ROW() - 6)</x:f>
        <x:v>111</x:v>
      </x:c>
      <x:c r="C117" s="44" t="s">
        <x:v>167</x:v>
      </x:c>
      <x:c r="D117" s="45" t="s">
        <x:v>44</x:v>
      </x:c>
      <x:c r="E117" s="46">
        <x:v>2070</x:v>
      </x:c>
      <x:c r="F117" s="46" t="s">
        <x:v>40</x:v>
      </x:c>
    </x:row>
    <x:row r="118" spans="1:28">
      <x:c r="B118" s="15">
        <x:f>IF(ISBLANK(INDIRECT(ADDRESS(ROW(),3))),"",ROW() - 6)</x:f>
        <x:v>112</x:v>
      </x:c>
      <x:c r="C118" s="44" t="s">
        <x:v>168</x:v>
      </x:c>
      <x:c r="D118" s="45" t="s">
        <x:v>46</x:v>
      </x:c>
      <x:c r="E118" s="46" t="s">
        <x:v>40</x:v>
      </x:c>
      <x:c r="F118" s="46">
        <x:v>9093.3</x:v>
      </x:c>
    </x:row>
    <x:row r="119" spans="1:28">
      <x:c r="B119" s="15">
        <x:f>IF(ISBLANK(INDIRECT(ADDRESS(ROW(),3))),"",ROW() - 6)</x:f>
        <x:v>113</x:v>
      </x:c>
      <x:c r="C119" s="44" t="s">
        <x:v>169</x:v>
      </x:c>
      <x:c r="D119" s="45" t="s">
        <x:v>112</x:v>
      </x:c>
      <x:c r="E119" s="46" t="s">
        <x:v>40</x:v>
      </x:c>
      <x:c r="F119" s="46">
        <x:v>14852.35</x:v>
      </x:c>
    </x:row>
    <x:row r="120" spans="1:28">
      <x:c r="B120" s="15">
        <x:f>IF(ISBLANK(INDIRECT(ADDRESS(ROW(),3))),"",ROW() - 6)</x:f>
        <x:v>114</x:v>
      </x:c>
      <x:c r="C120" s="44" t="s">
        <x:v>170</x:v>
      </x:c>
      <x:c r="D120" s="45" t="s">
        <x:v>171</x:v>
      </x:c>
      <x:c r="E120" s="46">
        <x:v>1854.25</x:v>
      </x:c>
      <x:c r="F120" s="46" t="s">
        <x:v>40</x:v>
      </x:c>
    </x:row>
    <x:row r="121" spans="1:28">
      <x:c r="B121" s="15">
        <x:f>IF(ISBLANK(INDIRECT(ADDRESS(ROW(),3))),"",ROW() - 6)</x:f>
        <x:v>115</x:v>
      </x:c>
      <x:c r="C121" s="44" t="s">
        <x:v>172</x:v>
      </x:c>
      <x:c r="D121" s="45" t="s">
        <x:v>51</x:v>
      </x:c>
      <x:c r="E121" s="46">
        <x:v>201255</x:v>
      </x:c>
      <x:c r="F121" s="46" t="s">
        <x:v>40</x:v>
      </x:c>
    </x:row>
    <x:row r="122" spans="1:28">
      <x:c r="B122" s="15">
        <x:f>IF(ISBLANK(INDIRECT(ADDRESS(ROW(),3))),"",ROW() - 6)</x:f>
        <x:v>116</x:v>
      </x:c>
      <x:c r="C122" s="44" t="s">
        <x:v>172</x:v>
      </x:c>
      <x:c r="D122" s="45" t="s">
        <x:v>52</x:v>
      </x:c>
      <x:c r="E122" s="46" t="s">
        <x:v>40</x:v>
      </x:c>
      <x:c r="F122" s="46">
        <x:v>54136.38</x:v>
      </x:c>
    </x:row>
    <x:row r="123" spans="1:28">
      <x:c r="B123" s="15">
        <x:f>IF(ISBLANK(INDIRECT(ADDRESS(ROW(),3))),"",ROW() - 6)</x:f>
        <x:v>117</x:v>
      </x:c>
      <x:c r="C123" s="44" t="s">
        <x:v>173</x:v>
      </x:c>
      <x:c r="D123" s="45" t="s">
        <x:v>51</x:v>
      </x:c>
      <x:c r="E123" s="46">
        <x:v>35618.32</x:v>
      </x:c>
      <x:c r="F123" s="46" t="s">
        <x:v>40</x:v>
      </x:c>
    </x:row>
    <x:row r="124" spans="1:28">
      <x:c r="B124" s="15">
        <x:f>IF(ISBLANK(INDIRECT(ADDRESS(ROW(),3))),"",ROW() - 6)</x:f>
        <x:v>118</x:v>
      </x:c>
      <x:c r="C124" s="44" t="s">
        <x:v>173</x:v>
      </x:c>
      <x:c r="D124" s="45" t="s">
        <x:v>52</x:v>
      </x:c>
      <x:c r="E124" s="46" t="s">
        <x:v>40</x:v>
      </x:c>
      <x:c r="F124" s="46">
        <x:v>2553.15</x:v>
      </x:c>
    </x:row>
    <x:row r="125" spans="1:28">
      <x:c r="B125" s="15">
        <x:f>IF(ISBLANK(INDIRECT(ADDRESS(ROW(),3))),"",ROW() - 6)</x:f>
        <x:v>119</x:v>
      </x:c>
      <x:c r="C125" s="44" t="s">
        <x:v>174</x:v>
      </x:c>
      <x:c r="D125" s="45" t="s">
        <x:v>48</x:v>
      </x:c>
      <x:c r="E125" s="46" t="s">
        <x:v>40</x:v>
      </x:c>
      <x:c r="F125" s="46">
        <x:v>82830</x:v>
      </x:c>
    </x:row>
    <x:row r="126" spans="1:28">
      <x:c r="B126" s="15">
        <x:f>IF(ISBLANK(INDIRECT(ADDRESS(ROW(),3))),"",ROW() - 6)</x:f>
        <x:v>120</x:v>
      </x:c>
      <x:c r="C126" s="44" t="s">
        <x:v>175</x:v>
      </x:c>
      <x:c r="D126" s="45" t="s">
        <x:v>48</x:v>
      </x:c>
      <x:c r="E126" s="46" t="s">
        <x:v>40</x:v>
      </x:c>
      <x:c r="F126" s="46">
        <x:v>12304</x:v>
      </x:c>
    </x:row>
    <x:row r="127" spans="1:28">
      <x:c r="B127" s="15">
        <x:f>IF(ISBLANK(INDIRECT(ADDRESS(ROW(),3))),"",ROW() - 6)</x:f>
        <x:v>121</x:v>
      </x:c>
      <x:c r="C127" s="44" t="s">
        <x:v>176</x:v>
      </x:c>
      <x:c r="D127" s="45" t="s">
        <x:v>91</x:v>
      </x:c>
      <x:c r="E127" s="46" t="s">
        <x:v>40</x:v>
      </x:c>
      <x:c r="F127" s="46">
        <x:v>14250</x:v>
      </x:c>
    </x:row>
    <x:row r="128" spans="1:28">
      <x:c r="B128" s="15">
        <x:f>IF(ISBLANK(INDIRECT(ADDRESS(ROW(),3))),"",ROW() - 6)</x:f>
        <x:v>122</x:v>
      </x:c>
      <x:c r="C128" s="44" t="s">
        <x:v>177</x:v>
      </x:c>
      <x:c r="D128" s="45" t="s">
        <x:v>93</x:v>
      </x:c>
      <x:c r="E128" s="46" t="s">
        <x:v>40</x:v>
      </x:c>
      <x:c r="F128" s="46">
        <x:v>3088</x:v>
      </x:c>
    </x:row>
    <x:row r="129" spans="1:28">
      <x:c r="B129" s="15">
        <x:f>IF(ISBLANK(INDIRECT(ADDRESS(ROW(),3))),"",ROW() - 6)</x:f>
        <x:v>123</x:v>
      </x:c>
      <x:c r="C129" s="44" t="s">
        <x:v>178</x:v>
      </x:c>
      <x:c r="D129" s="45" t="s">
        <x:v>179</x:v>
      </x:c>
      <x:c r="E129" s="46" t="s">
        <x:v>40</x:v>
      </x:c>
      <x:c r="F129" s="46">
        <x:v>95</x:v>
      </x:c>
    </x:row>
    <x:row r="130" spans="1:28">
      <x:c r="B130" s="15">
        <x:f>IF(ISBLANK(INDIRECT(ADDRESS(ROW(),3))),"",ROW() - 6)</x:f>
        <x:v>124</x:v>
      </x:c>
      <x:c r="C130" s="44" t="s">
        <x:v>180</x:v>
      </x:c>
      <x:c r="D130" s="45" t="s">
        <x:v>181</x:v>
      </x:c>
      <x:c r="E130" s="46" t="s">
        <x:v>40</x:v>
      </x:c>
      <x:c r="F130" s="46">
        <x:v>48821.14</x:v>
      </x:c>
    </x:row>
    <x:row r="131" spans="1:28">
      <x:c r="B131" s="15">
        <x:f>IF(ISBLANK(INDIRECT(ADDRESS(ROW(),3))),"",ROW() - 6)</x:f>
        <x:v>125</x:v>
      </x:c>
      <x:c r="C131" s="44" t="s">
        <x:v>182</x:v>
      </x:c>
      <x:c r="D131" s="45" t="s">
        <x:v>93</x:v>
      </x:c>
      <x:c r="E131" s="46" t="s">
        <x:v>40</x:v>
      </x:c>
      <x:c r="F131" s="46">
        <x:v>3087</x:v>
      </x:c>
    </x:row>
    <x:row r="132" spans="1:28">
      <x:c r="B132" s="15">
        <x:f>IF(ISBLANK(INDIRECT(ADDRESS(ROW(),3))),"",ROW() - 6)</x:f>
        <x:v>126</x:v>
      </x:c>
      <x:c r="C132" s="44" t="s">
        <x:v>183</x:v>
      </x:c>
      <x:c r="D132" s="45" t="s">
        <x:v>184</x:v>
      </x:c>
      <x:c r="E132" s="46" t="s">
        <x:v>40</x:v>
      </x:c>
      <x:c r="F132" s="46">
        <x:v>1100</x:v>
      </x:c>
    </x:row>
    <x:row r="133" spans="1:28">
      <x:c r="B133" s="15">
        <x:f>IF(ISBLANK(INDIRECT(ADDRESS(ROW(),3))),"",ROW() - 6)</x:f>
        <x:v>127</x:v>
      </x:c>
      <x:c r="C133" s="44" t="s">
        <x:v>185</x:v>
      </x:c>
      <x:c r="D133" s="45" t="s">
        <x:v>51</x:v>
      </x:c>
      <x:c r="E133" s="46">
        <x:v>379157</x:v>
      </x:c>
      <x:c r="F133" s="46" t="s">
        <x:v>40</x:v>
      </x:c>
    </x:row>
    <x:row r="134" spans="1:28">
      <x:c r="B134" s="15">
        <x:f>IF(ISBLANK(INDIRECT(ADDRESS(ROW(),3))),"",ROW() - 6)</x:f>
        <x:v>128</x:v>
      </x:c>
      <x:c r="C134" s="44" t="s">
        <x:v>185</x:v>
      </x:c>
      <x:c r="D134" s="45" t="s">
        <x:v>52</x:v>
      </x:c>
      <x:c r="E134" s="46" t="s">
        <x:v>40</x:v>
      </x:c>
      <x:c r="F134" s="46">
        <x:v>59988.11</x:v>
      </x:c>
    </x:row>
    <x:row r="135" spans="1:28">
      <x:c r="B135" s="15">
        <x:f>IF(ISBLANK(INDIRECT(ADDRESS(ROW(),3))),"",ROW() - 6)</x:f>
        <x:v>129</x:v>
      </x:c>
      <x:c r="C135" s="44" t="s">
        <x:v>186</x:v>
      </x:c>
      <x:c r="D135" s="45" t="s">
        <x:v>51</x:v>
      </x:c>
      <x:c r="E135" s="46">
        <x:v>12099.96</x:v>
      </x:c>
      <x:c r="F135" s="46" t="s">
        <x:v>40</x:v>
      </x:c>
    </x:row>
    <x:row r="136" spans="1:28">
      <x:c r="B136" s="15">
        <x:f>IF(ISBLANK(INDIRECT(ADDRESS(ROW(),3))),"",ROW() - 6)</x:f>
        <x:v>130</x:v>
      </x:c>
      <x:c r="C136" s="44" t="s">
        <x:v>186</x:v>
      </x:c>
      <x:c r="D136" s="45" t="s">
        <x:v>52</x:v>
      </x:c>
      <x:c r="E136" s="46" t="s">
        <x:v>40</x:v>
      </x:c>
      <x:c r="F136" s="46">
        <x:v>1126.92</x:v>
      </x:c>
    </x:row>
    <x:row r="137" spans="1:28">
      <x:c r="B137" s="15">
        <x:f>IF(ISBLANK(INDIRECT(ADDRESS(ROW(),3))),"",ROW() - 6)</x:f>
        <x:v>131</x:v>
      </x:c>
      <x:c r="C137" s="44" t="s">
        <x:v>187</x:v>
      </x:c>
      <x:c r="D137" s="45" t="s">
        <x:v>48</x:v>
      </x:c>
      <x:c r="E137" s="46" t="s">
        <x:v>40</x:v>
      </x:c>
      <x:c r="F137" s="46">
        <x:v>2626</x:v>
      </x:c>
    </x:row>
    <x:row r="138" spans="1:28">
      <x:c r="B138" s="15">
        <x:f>IF(ISBLANK(INDIRECT(ADDRESS(ROW(),3))),"",ROW() - 6)</x:f>
        <x:v>132</x:v>
      </x:c>
      <x:c r="C138" s="44" t="s">
        <x:v>188</x:v>
      </x:c>
      <x:c r="D138" s="45" t="s">
        <x:v>48</x:v>
      </x:c>
      <x:c r="E138" s="46" t="s">
        <x:v>40</x:v>
      </x:c>
      <x:c r="F138" s="46">
        <x:v>150055</x:v>
      </x:c>
    </x:row>
    <x:row r="139" spans="1:28">
      <x:c r="B139" s="15">
        <x:f>IF(ISBLANK(INDIRECT(ADDRESS(ROW(),3))),"",ROW() - 6)</x:f>
        <x:v>133</x:v>
      </x:c>
      <x:c r="C139" s="44" t="s">
        <x:v>189</x:v>
      </x:c>
      <x:c r="D139" s="45" t="s">
        <x:v>190</x:v>
      </x:c>
      <x:c r="E139" s="46">
        <x:v>1621.48</x:v>
      </x:c>
      <x:c r="F139" s="46" t="s">
        <x:v>40</x:v>
      </x:c>
    </x:row>
    <x:row r="140" spans="1:28">
      <x:c r="B140" s="15">
        <x:f>IF(ISBLANK(INDIRECT(ADDRESS(ROW(),3))),"",ROW() - 6)</x:f>
        <x:v>134</x:v>
      </x:c>
      <x:c r="C140" s="44" t="s">
        <x:v>191</x:v>
      </x:c>
      <x:c r="D140" s="45" t="s">
        <x:v>192</x:v>
      </x:c>
      <x:c r="E140" s="46" t="s">
        <x:v>40</x:v>
      </x:c>
      <x:c r="F140" s="46">
        <x:v>4171.49</x:v>
      </x:c>
    </x:row>
    <x:row r="141" spans="1:28">
      <x:c r="B141" s="15">
        <x:f>IF(ISBLANK(INDIRECT(ADDRESS(ROW(),3))),"",ROW() - 6)</x:f>
        <x:v>135</x:v>
      </x:c>
      <x:c r="C141" s="44" t="s">
        <x:v>193</x:v>
      </x:c>
      <x:c r="D141" s="45" t="s">
        <x:v>194</x:v>
      </x:c>
      <x:c r="E141" s="46" t="s">
        <x:v>40</x:v>
      </x:c>
      <x:c r="F141" s="46">
        <x:v>176.02</x:v>
      </x:c>
    </x:row>
    <x:row r="142" spans="1:28">
      <x:c r="B142" s="15">
        <x:f>IF(ISBLANK(INDIRECT(ADDRESS(ROW(),3))),"",ROW() - 6)</x:f>
        <x:v>136</x:v>
      </x:c>
      <x:c r="C142" s="44" t="s">
        <x:v>195</x:v>
      </x:c>
      <x:c r="D142" s="45" t="s">
        <x:v>196</x:v>
      </x:c>
      <x:c r="E142" s="46" t="s">
        <x:v>40</x:v>
      </x:c>
      <x:c r="F142" s="46">
        <x:v>54.2</x:v>
      </x:c>
    </x:row>
    <x:row r="143" spans="1:28">
      <x:c r="B143" s="15">
        <x:f>IF(ISBLANK(INDIRECT(ADDRESS(ROW(),3))),"",ROW() - 6)</x:f>
        <x:v>137</x:v>
      </x:c>
      <x:c r="C143" s="44" t="s">
        <x:v>197</x:v>
      </x:c>
      <x:c r="D143" s="45" t="s">
        <x:v>198</x:v>
      </x:c>
      <x:c r="E143" s="46" t="s">
        <x:v>40</x:v>
      </x:c>
      <x:c r="F143" s="46">
        <x:v>16.12</x:v>
      </x:c>
    </x:row>
    <x:row r="144" spans="1:28">
      <x:c r="B144" s="15">
        <x:f>IF(ISBLANK(INDIRECT(ADDRESS(ROW(),3))),"",ROW() - 6)</x:f>
        <x:v>138</x:v>
      </x:c>
      <x:c r="C144" s="44" t="s">
        <x:v>199</x:v>
      </x:c>
      <x:c r="D144" s="45" t="s">
        <x:v>200</x:v>
      </x:c>
      <x:c r="E144" s="46" t="s">
        <x:v>40</x:v>
      </x:c>
      <x:c r="F144" s="46">
        <x:v>8700</x:v>
      </x:c>
    </x:row>
    <x:row r="145" spans="1:28">
      <x:c r="B145" s="15">
        <x:f>IF(ISBLANK(INDIRECT(ADDRESS(ROW(),3))),"",ROW() - 6)</x:f>
        <x:v>139</x:v>
      </x:c>
      <x:c r="C145" s="44" t="s">
        <x:v>201</x:v>
      </x:c>
      <x:c r="D145" s="45" t="s">
        <x:v>202</x:v>
      </x:c>
      <x:c r="E145" s="46" t="s">
        <x:v>40</x:v>
      </x:c>
      <x:c r="F145" s="46">
        <x:v>11962</x:v>
      </x:c>
    </x:row>
    <x:row r="146" spans="1:28">
      <x:c r="B146" s="15">
        <x:f>IF(ISBLANK(INDIRECT(ADDRESS(ROW(),3))),"",ROW() - 6)</x:f>
        <x:v>140</x:v>
      </x:c>
      <x:c r="C146" s="44" t="s">
        <x:v>203</x:v>
      </x:c>
      <x:c r="D146" s="45" t="s">
        <x:v>51</x:v>
      </x:c>
      <x:c r="E146" s="46">
        <x:v>442615</x:v>
      </x:c>
      <x:c r="F146" s="46" t="s">
        <x:v>40</x:v>
      </x:c>
    </x:row>
    <x:row r="147" spans="1:28">
      <x:c r="B147" s="15">
        <x:f>IF(ISBLANK(INDIRECT(ADDRESS(ROW(),3))),"",ROW() - 6)</x:f>
        <x:v>141</x:v>
      </x:c>
      <x:c r="C147" s="44" t="s">
        <x:v>203</x:v>
      </x:c>
      <x:c r="D147" s="45" t="s">
        <x:v>52</x:v>
      </x:c>
      <x:c r="E147" s="46" t="s">
        <x:v>40</x:v>
      </x:c>
      <x:c r="F147" s="46">
        <x:v>58212.22</x:v>
      </x:c>
    </x:row>
    <x:row r="148" spans="1:28">
      <x:c r="B148" s="15">
        <x:f>IF(ISBLANK(INDIRECT(ADDRESS(ROW(),3))),"",ROW() - 6)</x:f>
        <x:v>142</x:v>
      </x:c>
      <x:c r="C148" s="44" t="s">
        <x:v>204</x:v>
      </x:c>
      <x:c r="D148" s="45" t="s">
        <x:v>51</x:v>
      </x:c>
      <x:c r="E148" s="46">
        <x:v>6731.06</x:v>
      </x:c>
      <x:c r="F148" s="46" t="s">
        <x:v>40</x:v>
      </x:c>
    </x:row>
    <x:row r="149" spans="1:28">
      <x:c r="B149" s="15">
        <x:f>IF(ISBLANK(INDIRECT(ADDRESS(ROW(),3))),"",ROW() - 6)</x:f>
        <x:v>143</x:v>
      </x:c>
      <x:c r="C149" s="44" t="s">
        <x:v>204</x:v>
      </x:c>
      <x:c r="D149" s="45" t="s">
        <x:v>52</x:v>
      </x:c>
      <x:c r="E149" s="46" t="s">
        <x:v>40</x:v>
      </x:c>
      <x:c r="F149" s="46">
        <x:v>544.52</x:v>
      </x:c>
    </x:row>
    <x:row r="150" spans="1:28">
      <x:c r="B150" s="15">
        <x:f>IF(ISBLANK(INDIRECT(ADDRESS(ROW(),3))),"",ROW() - 6)</x:f>
        <x:v>144</x:v>
      </x:c>
      <x:c r="C150" s="44" t="s">
        <x:v>205</x:v>
      </x:c>
      <x:c r="D150" s="45" t="s">
        <x:v>48</x:v>
      </x:c>
      <x:c r="E150" s="46" t="s">
        <x:v>40</x:v>
      </x:c>
      <x:c r="F150" s="46">
        <x:v>1464</x:v>
      </x:c>
    </x:row>
    <x:row r="151" spans="1:28">
      <x:c r="B151" s="15">
        <x:f>IF(ISBLANK(INDIRECT(ADDRESS(ROW(),3))),"",ROW() - 6)</x:f>
        <x:v>145</x:v>
      </x:c>
      <x:c r="C151" s="44" t="s">
        <x:v>206</x:v>
      </x:c>
      <x:c r="D151" s="45" t="s">
        <x:v>48</x:v>
      </x:c>
      <x:c r="E151" s="46" t="s">
        <x:v>40</x:v>
      </x:c>
      <x:c r="F151" s="46">
        <x:v>188335</x:v>
      </x:c>
    </x:row>
    <x:row r="152" spans="1:28">
      <x:c r="B152" s="15">
        <x:f>IF(ISBLANK(INDIRECT(ADDRESS(ROW(),3))),"",ROW() - 6)</x:f>
        <x:v>146</x:v>
      </x:c>
      <x:c r="C152" s="44" t="s">
        <x:v>207</x:v>
      </x:c>
      <x:c r="D152" s="45" t="s">
        <x:v>208</x:v>
      </x:c>
      <x:c r="E152" s="46" t="s">
        <x:v>40</x:v>
      </x:c>
      <x:c r="F152" s="46">
        <x:v>199</x:v>
      </x:c>
    </x:row>
    <x:row r="153" spans="1:28">
      <x:c r="B153" s="15">
        <x:f>IF(ISBLANK(INDIRECT(ADDRESS(ROW(),3))),"",ROW() - 6)</x:f>
        <x:v>147</x:v>
      </x:c>
      <x:c r="C153" s="44" t="s">
        <x:v>209</x:v>
      </x:c>
      <x:c r="D153" s="45" t="s">
        <x:v>51</x:v>
      </x:c>
      <x:c r="E153" s="46">
        <x:v>299502</x:v>
      </x:c>
      <x:c r="F153" s="46" t="s">
        <x:v>40</x:v>
      </x:c>
    </x:row>
    <x:row r="154" spans="1:28">
      <x:c r="B154" s="15">
        <x:f>IF(ISBLANK(INDIRECT(ADDRESS(ROW(),3))),"",ROW() - 6)</x:f>
        <x:v>148</x:v>
      </x:c>
      <x:c r="C154" s="44" t="s">
        <x:v>209</x:v>
      </x:c>
      <x:c r="D154" s="45" t="s">
        <x:v>52</x:v>
      </x:c>
      <x:c r="E154" s="46" t="s">
        <x:v>40</x:v>
      </x:c>
      <x:c r="F154" s="46">
        <x:v>49995.06</x:v>
      </x:c>
    </x:row>
    <x:row r="155" spans="1:28">
      <x:c r="B155" s="15">
        <x:f>IF(ISBLANK(INDIRECT(ADDRESS(ROW(),3))),"",ROW() - 6)</x:f>
        <x:v>149</x:v>
      </x:c>
      <x:c r="C155" s="44" t="s">
        <x:v>210</x:v>
      </x:c>
      <x:c r="D155" s="45" t="s">
        <x:v>51</x:v>
      </x:c>
      <x:c r="E155" s="46">
        <x:v>42329.7</x:v>
      </x:c>
      <x:c r="F155" s="46" t="s">
        <x:v>40</x:v>
      </x:c>
    </x:row>
    <x:row r="156" spans="1:28">
      <x:c r="B156" s="15">
        <x:f>IF(ISBLANK(INDIRECT(ADDRESS(ROW(),3))),"",ROW() - 6)</x:f>
        <x:v>150</x:v>
      </x:c>
      <x:c r="C156" s="44" t="s">
        <x:v>210</x:v>
      </x:c>
      <x:c r="D156" s="45" t="s">
        <x:v>52</x:v>
      </x:c>
      <x:c r="E156" s="46" t="s">
        <x:v>40</x:v>
      </x:c>
      <x:c r="F156" s="46">
        <x:v>3100.99</x:v>
      </x:c>
    </x:row>
    <x:row r="157" spans="1:28">
      <x:c r="B157" s="15">
        <x:f>IF(ISBLANK(INDIRECT(ADDRESS(ROW(),3))),"",ROW() - 6)</x:f>
        <x:v>151</x:v>
      </x:c>
      <x:c r="C157" s="44" t="s">
        <x:v>211</x:v>
      </x:c>
      <x:c r="D157" s="45" t="s">
        <x:v>48</x:v>
      </x:c>
      <x:c r="E157" s="46" t="s">
        <x:v>40</x:v>
      </x:c>
      <x:c r="F157" s="46">
        <x:v>15146.06</x:v>
      </x:c>
    </x:row>
    <x:row r="158" spans="1:28">
      <x:c r="B158" s="15">
        <x:f>IF(ISBLANK(INDIRECT(ADDRESS(ROW(),3))),"",ROW() - 6)</x:f>
        <x:v>152</x:v>
      </x:c>
      <x:c r="C158" s="44" t="s">
        <x:v>212</x:v>
      </x:c>
      <x:c r="D158" s="45" t="s">
        <x:v>48</x:v>
      </x:c>
      <x:c r="E158" s="46" t="s">
        <x:v>40</x:v>
      </x:c>
      <x:c r="F158" s="46">
        <x:v>122375</x:v>
      </x:c>
    </x:row>
    <x:row r="159" spans="1:28">
      <x:c r="B159" s="15">
        <x:f>IF(ISBLANK(INDIRECT(ADDRESS(ROW(),3))),"",ROW() - 6)</x:f>
        <x:v>153</x:v>
      </x:c>
      <x:c r="C159" s="44" t="s">
        <x:v>213</x:v>
      </x:c>
      <x:c r="D159" s="45" t="s">
        <x:v>214</x:v>
      </x:c>
      <x:c r="E159" s="46" t="s">
        <x:v>40</x:v>
      </x:c>
      <x:c r="F159" s="46">
        <x:v>1890</x:v>
      </x:c>
    </x:row>
    <x:row r="160" spans="1:28">
      <x:c r="B160" s="15">
        <x:f>IF(ISBLANK(INDIRECT(ADDRESS(ROW(),3))),"",ROW() - 6)</x:f>
        <x:v>154</x:v>
      </x:c>
      <x:c r="C160" s="44" t="s">
        <x:v>215</x:v>
      </x:c>
      <x:c r="D160" s="45" t="s">
        <x:v>51</x:v>
      </x:c>
      <x:c r="E160" s="46">
        <x:v>351298</x:v>
      </x:c>
      <x:c r="F160" s="46" t="s">
        <x:v>40</x:v>
      </x:c>
    </x:row>
    <x:row r="161" spans="1:28">
      <x:c r="B161" s="15">
        <x:f>IF(ISBLANK(INDIRECT(ADDRESS(ROW(),3))),"",ROW() - 6)</x:f>
        <x:v>155</x:v>
      </x:c>
      <x:c r="C161" s="44" t="s">
        <x:v>215</x:v>
      </x:c>
      <x:c r="D161" s="45" t="s">
        <x:v>52</x:v>
      </x:c>
      <x:c r="E161" s="46" t="s">
        <x:v>40</x:v>
      </x:c>
      <x:c r="F161" s="46">
        <x:v>63421.42</x:v>
      </x:c>
    </x:row>
    <x:row r="162" spans="1:28">
      <x:c r="B162" s="15">
        <x:f>IF(ISBLANK(INDIRECT(ADDRESS(ROW(),3))),"",ROW() - 6)</x:f>
        <x:v>156</x:v>
      </x:c>
      <x:c r="C162" s="44" t="s">
        <x:v>216</x:v>
      </x:c>
      <x:c r="D162" s="45" t="s">
        <x:v>52</x:v>
      </x:c>
      <x:c r="E162" s="46" t="s">
        <x:v>40</x:v>
      </x:c>
      <x:c r="F162" s="46">
        <x:v>1620.51</x:v>
      </x:c>
    </x:row>
    <x:row r="163" spans="1:28">
      <x:c r="B163" s="15">
        <x:f>IF(ISBLANK(INDIRECT(ADDRESS(ROW(),3))),"",ROW() - 6)</x:f>
        <x:v>157</x:v>
      </x:c>
      <x:c r="C163" s="44" t="s">
        <x:v>216</x:v>
      </x:c>
      <x:c r="D163" s="45" t="s">
        <x:v>51</x:v>
      </x:c>
      <x:c r="E163" s="46">
        <x:v>7333.39</x:v>
      </x:c>
      <x:c r="F163" s="46" t="s">
        <x:v>40</x:v>
      </x:c>
    </x:row>
    <x:row r="164" spans="1:28">
      <x:c r="B164" s="15">
        <x:f>IF(ISBLANK(INDIRECT(ADDRESS(ROW(),3))),"",ROW() - 6)</x:f>
        <x:v>158</x:v>
      </x:c>
      <x:c r="C164" s="44" t="s">
        <x:v>217</x:v>
      </x:c>
      <x:c r="D164" s="45" t="s">
        <x:v>67</x:v>
      </x:c>
      <x:c r="E164" s="46">
        <x:v>4719.12</x:v>
      </x:c>
      <x:c r="F164" s="46" t="s">
        <x:v>40</x:v>
      </x:c>
    </x:row>
    <x:row r="165" spans="1:28">
      <x:c r="B165" s="15">
        <x:f>IF(ISBLANK(INDIRECT(ADDRESS(ROW(),3))),"",ROW() - 6)</x:f>
        <x:v>159</x:v>
      </x:c>
      <x:c r="C165" s="44" t="s">
        <x:v>218</x:v>
      </x:c>
      <x:c r="D165" s="45" t="s">
        <x:v>48</x:v>
      </x:c>
      <x:c r="E165" s="46" t="s">
        <x:v>40</x:v>
      </x:c>
      <x:c r="F165" s="46">
        <x:v>136982</x:v>
      </x:c>
    </x:row>
    <x:row r="166" spans="1:28">
      <x:c r="B166" s="15">
        <x:f>IF(ISBLANK(INDIRECT(ADDRESS(ROW(),3))),"",ROW() - 6)</x:f>
        <x:v>160</x:v>
      </x:c>
      <x:c r="C166" s="44" t="s">
        <x:v>219</x:v>
      </x:c>
      <x:c r="D166" s="45" t="s">
        <x:v>48</x:v>
      </x:c>
      <x:c r="E166" s="46" t="s">
        <x:v>40</x:v>
      </x:c>
      <x:c r="F166" s="46">
        <x:v>1972.83</x:v>
      </x:c>
    </x:row>
    <x:row r="167" spans="1:28">
      <x:c r="B167" s="15">
        <x:f>IF(ISBLANK(INDIRECT(ADDRESS(ROW(),3))),"",ROW() - 6)</x:f>
        <x:v>161</x:v>
      </x:c>
      <x:c r="C167" s="44" t="s">
        <x:v>220</x:v>
      </x:c>
      <x:c r="D167" s="45" t="s">
        <x:v>91</x:v>
      </x:c>
      <x:c r="E167" s="46" t="s">
        <x:v>40</x:v>
      </x:c>
      <x:c r="F167" s="46">
        <x:v>14250</x:v>
      </x:c>
    </x:row>
    <x:row r="168" spans="1:28">
      <x:c r="B168" s="15">
        <x:f>IF(ISBLANK(INDIRECT(ADDRESS(ROW(),3))),"",ROW() - 6)</x:f>
        <x:v>162</x:v>
      </x:c>
      <x:c r="C168" s="44" t="s">
        <x:v>221</x:v>
      </x:c>
      <x:c r="D168" s="45" t="s">
        <x:v>93</x:v>
      </x:c>
      <x:c r="E168" s="46" t="s">
        <x:v>40</x:v>
      </x:c>
      <x:c r="F168" s="46">
        <x:v>3088</x:v>
      </x:c>
    </x:row>
    <x:row r="169" spans="1:28">
      <x:c r="B169" s="15">
        <x:f>IF(ISBLANK(INDIRECT(ADDRESS(ROW(),3))),"",ROW() - 6)</x:f>
        <x:v>163</x:v>
      </x:c>
      <x:c r="C169" s="44" t="s">
        <x:v>222</x:v>
      </x:c>
      <x:c r="D169" s="45" t="s">
        <x:v>223</x:v>
      </x:c>
      <x:c r="E169" s="46" t="s">
        <x:v>40</x:v>
      </x:c>
      <x:c r="F169" s="46">
        <x:v>8700</x:v>
      </x:c>
    </x:row>
    <x:row r="170" spans="1:28">
      <x:c r="B170" s="15">
        <x:f>IF(ISBLANK(INDIRECT(ADDRESS(ROW(),3))),"",ROW() - 6)</x:f>
        <x:v>164</x:v>
      </x:c>
      <x:c r="C170" s="44" t="s">
        <x:v>224</x:v>
      </x:c>
      <x:c r="D170" s="45" t="s">
        <x:v>225</x:v>
      </x:c>
      <x:c r="E170" s="46" t="s">
        <x:v>40</x:v>
      </x:c>
      <x:c r="F170" s="46">
        <x:v>11963</x:v>
      </x:c>
    </x:row>
    <x:row r="171" spans="1:28">
      <x:c r="B171" s="15">
        <x:f>IF(ISBLANK(INDIRECT(ADDRESS(ROW(),3))),"",ROW() - 6)</x:f>
        <x:v>165</x:v>
      </x:c>
      <x:c r="C171" s="44" t="s">
        <x:v>226</x:v>
      </x:c>
      <x:c r="D171" s="45" t="s">
        <x:v>227</x:v>
      </x:c>
      <x:c r="E171" s="46" t="s">
        <x:v>40</x:v>
      </x:c>
      <x:c r="F171" s="46">
        <x:v>95</x:v>
      </x:c>
    </x:row>
    <x:row r="172" spans="1:28">
      <x:c r="B172" s="15">
        <x:f>IF(ISBLANK(INDIRECT(ADDRESS(ROW(),3))),"",ROW() - 6)</x:f>
        <x:v>166</x:v>
      </x:c>
      <x:c r="C172" s="44" t="s">
        <x:v>228</x:v>
      </x:c>
      <x:c r="D172" s="45" t="s">
        <x:v>229</x:v>
      </x:c>
      <x:c r="E172" s="46" t="s">
        <x:v>40</x:v>
      </x:c>
      <x:c r="F172" s="46">
        <x:v>50000</x:v>
      </x:c>
    </x:row>
    <x:row r="173" spans="1:28">
      <x:c r="B173" s="15">
        <x:f>IF(ISBLANK(INDIRECT(ADDRESS(ROW(),3))),"",ROW() - 6)</x:f>
        <x:v>167</x:v>
      </x:c>
      <x:c r="C173" s="44" t="s">
        <x:v>230</x:v>
      </x:c>
      <x:c r="D173" s="45" t="s">
        <x:v>229</x:v>
      </x:c>
      <x:c r="E173" s="46" t="s">
        <x:v>40</x:v>
      </x:c>
      <x:c r="F173" s="46">
        <x:v>100000</x:v>
      </x:c>
    </x:row>
    <x:row r="174" spans="1:28">
      <x:c r="B174" s="15">
        <x:f>IF(ISBLANK(INDIRECT(ADDRESS(ROW(),3))),"",ROW() - 6)</x:f>
        <x:v>168</x:v>
      </x:c>
      <x:c r="C174" s="44" t="s">
        <x:v>231</x:v>
      </x:c>
      <x:c r="D174" s="45" t="s">
        <x:v>232</x:v>
      </x:c>
      <x:c r="E174" s="46" t="s">
        <x:v>40</x:v>
      </x:c>
      <x:c r="F174" s="46">
        <x:v>399</x:v>
      </x:c>
    </x:row>
    <x:row r="175" spans="1:28">
      <x:c r="B175" s="15">
        <x:f>IF(ISBLANK(INDIRECT(ADDRESS(ROW(),3))),"",ROW() - 6)</x:f>
        <x:v>169</x:v>
      </x:c>
      <x:c r="C175" s="44" t="s">
        <x:v>233</x:v>
      </x:c>
      <x:c r="D175" s="45" t="s">
        <x:v>229</x:v>
      </x:c>
      <x:c r="E175" s="46" t="s">
        <x:v>40</x:v>
      </x:c>
      <x:c r="F175" s="46">
        <x:v>150000</x:v>
      </x:c>
    </x:row>
    <x:row r="176" spans="1:28">
      <x:c r="B176" s="15">
        <x:f>IF(ISBLANK(INDIRECT(ADDRESS(ROW(),3))),"",ROW() - 6)</x:f>
        <x:v>170</x:v>
      </x:c>
      <x:c r="C176" s="44" t="s">
        <x:v>234</x:v>
      </x:c>
      <x:c r="D176" s="45" t="s">
        <x:v>229</x:v>
      </x:c>
      <x:c r="E176" s="46" t="s">
        <x:v>40</x:v>
      </x:c>
      <x:c r="F176" s="46">
        <x:v>200000</x:v>
      </x:c>
    </x:row>
    <x:row r="177" spans="1:28">
      <x:c r="B177" s="15">
        <x:f>IF(ISBLANK(INDIRECT(ADDRESS(ROW(),3))),"",ROW() - 6)</x:f>
        <x:v>171</x:v>
      </x:c>
      <x:c r="C177" s="44" t="s">
        <x:v>235</x:v>
      </x:c>
      <x:c r="D177" s="45" t="s">
        <x:v>51</x:v>
      </x:c>
      <x:c r="E177" s="46">
        <x:v>1025536.36</x:v>
      </x:c>
      <x:c r="F177" s="46" t="s">
        <x:v>40</x:v>
      </x:c>
    </x:row>
    <x:row r="178" spans="1:28">
      <x:c r="B178" s="15">
        <x:f>IF(ISBLANK(INDIRECT(ADDRESS(ROW(),3))),"",ROW() - 6)</x:f>
        <x:v>172</x:v>
      </x:c>
      <x:c r="C178" s="44" t="s">
        <x:v>235</x:v>
      </x:c>
      <x:c r="D178" s="45" t="s">
        <x:v>52</x:v>
      </x:c>
      <x:c r="E178" s="46" t="s">
        <x:v>40</x:v>
      </x:c>
      <x:c r="F178" s="46">
        <x:v>7202.61</x:v>
      </x:c>
    </x:row>
    <x:row r="179" spans="1:28">
      <x:c r="B179" s="15">
        <x:f>IF(ISBLANK(INDIRECT(ADDRESS(ROW(),3))),"",ROW() - 6)</x:f>
        <x:v>173</x:v>
      </x:c>
      <x:c r="C179" s="44" t="s">
        <x:v>236</x:v>
      </x:c>
      <x:c r="D179" s="45" t="s">
        <x:v>104</x:v>
      </x:c>
      <x:c r="E179" s="46" t="s">
        <x:v>40</x:v>
      </x:c>
      <x:c r="F179" s="46">
        <x:v>346430</x:v>
      </x:c>
    </x:row>
    <x:row r="180" spans="1:28">
      <x:c r="B180" s="47" t="s">
        <x:v>237</x:v>
      </x:c>
      <x:c r="C180" s="47"/>
      <x:c r="D180" s="47"/>
      <x:c r="E180" s="48" t="e">
        <x:f>$AA$1</x:f>
        <x:v>#NAME?</x:v>
      </x:c>
      <x:c r="F180" s="46" t="e">
        <x:f>$AB$1</x:f>
        <x:v>#NAME?</x:v>
      </x:c>
    </x:row>
  </x:sheetData>
  <x:mergeCells count="4">
    <x:mergeCell ref="B2:F2"/>
    <x:mergeCell ref="B4:D4"/>
    <x:mergeCell ref="E4:F4"/>
    <x:mergeCell ref="B180:D180"/>
  </x:mergeCells>
  <x:conditionalFormatting sqref="F180:F180">
    <x:cfRule type="expression" dxfId="0" priority="1" operator="equal">
      <x:formula>$Y$1="1"</x:formula>
    </x:cfRule>
  </x:conditionalFormatting>
  <x:printOptions horizontalCentered="0" verticalCentered="0" headings="0" gridLines="0"/>
  <x:pageMargins left="0.7" right="0.7" top="0.75" bottom="0.75" header="0.511811023622047" footer="0.511811023622047"/>
  <x:pageSetup paperSize="9" fitToHeight="0" pageOrder="downThenOver" orientation="portrait" blackAndWhite="0" draft="0" cellComments="none" errors="displayed"/>
  <x:headerFooter differentOddEven="0" differentFirst="1" scaleWithDoc="1" alignWithMargins="1">
    <x:oddHeader/>
    <x:oddFooter>&amp;R&amp;P</x:oddFooter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AB132"/>
  <x:sheetViews>
    <x:sheetView workbookViewId="0"/>
  </x:sheetViews>
  <x:sheetFormatPr defaultRowHeight="15"/>
  <x:cols>
    <x:col min="1" max="1" width="3.425781" style="0" customWidth="1"/>
    <x:col min="2" max="2" width="8.710938" style="0" customWidth="1"/>
    <x:col min="3" max="3" width="15.425781" style="0" customWidth="1"/>
    <x:col min="4" max="4" width="42" style="0" customWidth="1"/>
    <x:col min="5" max="6" width="16.710938" style="0" customWidth="1"/>
    <x:col min="7" max="28" width="8.567768" style="0" customWidth="1"/>
  </x:cols>
  <x:sheetData>
    <x:row r="1" spans="1:28">
      <x:c r="B1" s="30"/>
      <x:c r="C1" s="30"/>
      <x:c r="D1" s="30"/>
      <x:c r="E1" s="30"/>
      <x:c r="F1" s="30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7" t="str">
        <x:f>'Доходы и расходы за 4 квартал'!$Y$1</x:f>
        <x:v>0</x:v>
      </x:c>
      <x:c r="Z1" s="37" t="e">
        <x:f>MAX(INDIRECT("B7:B"&amp;ROWS(B:B)))</x:f>
        <x:v>#NAME?</x:v>
      </x:c>
      <x:c r="AA1" s="37" t="e">
        <x:f>SUM(INDIRECT("E7:"&amp;ADDRESS(MATCH("Итого за II квартал", $B:$B, 0) - 1, 5)))</x:f>
        <x:v>#NAME?</x:v>
      </x:c>
      <x:c r="AB1" s="37" t="e">
        <x:f>SUM(INDIRECT("F7:"&amp;ADDRESS(MATCH("Итого за II квартал", $B:$B, 0) - 1, 6)))</x:f>
        <x:v>#NAME?</x:v>
      </x:c>
    </x:row>
    <x:row r="2" spans="1:28">
      <x:c r="B2" s="38" t="s">
        <x:v>30</x:v>
      </x:c>
      <x:c r="C2" s="38"/>
      <x:c r="D2" s="38"/>
      <x:c r="E2" s="38"/>
      <x:c r="F2" s="38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  <x:c r="V2" s="36"/>
      <x:c r="W2" s="36"/>
      <x:c r="X2" s="36"/>
      <x:c r="Y2" s="36"/>
      <x:c r="Z2" s="37" t="e">
        <x:f>IF($Z$1=0,'Доходы и расходы за 1 квартал'!$Z$2,$Z$1)</x:f>
        <x:v>#NAME?</x:v>
      </x:c>
      <x:c r="AA2" s="37" t="e">
        <x:f>$AA$1 + 'Доходы и расходы за 1 квартал'!$AA$1</x:f>
        <x:v>#NAME?</x:v>
      </x:c>
      <x:c r="AB2" s="37" t="e">
        <x:f>$AB$1 + 'Доходы и расходы за 1 квартал'!$AB$1</x:f>
        <x:v>#NAME?</x:v>
      </x:c>
    </x:row>
    <x:row r="3" spans="1:28">
      <x:c r="B3" s="49"/>
      <x:c r="C3" s="49"/>
      <x:c r="D3" s="49"/>
      <x:c r="E3" s="49"/>
      <x:c r="F3" s="49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  <x:c r="AA3" s="36"/>
      <x:c r="AB3" s="36"/>
    </x:row>
    <x:row r="4" spans="1:28">
      <x:c r="B4" s="40" t="s">
        <x:v>31</x:v>
      </x:c>
      <x:c r="C4" s="40"/>
      <x:c r="D4" s="40"/>
      <x:c r="E4" s="9" t="s">
        <x:v>32</x:v>
      </x:c>
      <x:c r="F4" s="9"/>
      <x:c r="G4" s="36"/>
      <x:c r="H4" s="36"/>
      <x:c r="I4" s="36"/>
      <x:c r="J4" s="36"/>
      <x:c r="K4" s="36"/>
      <x:c r="L4" s="36"/>
      <x:c r="M4" s="36"/>
      <x:c r="N4" s="36"/>
      <x:c r="O4" s="36"/>
      <x:c r="P4" s="36"/>
      <x:c r="Q4" s="36"/>
      <x:c r="R4" s="36"/>
      <x:c r="S4" s="36"/>
      <x:c r="T4" s="36"/>
      <x:c r="U4" s="36"/>
      <x:c r="V4" s="36"/>
      <x:c r="W4" s="36"/>
      <x:c r="X4" s="36"/>
      <x:c r="Y4" s="36"/>
      <x:c r="Z4" s="36"/>
      <x:c r="AA4" s="36"/>
      <x:c r="AB4" s="36"/>
    </x:row>
    <x:row r="5" spans="1:28" ht="68.25" customHeight="1">
      <x:c r="B5" s="41" t="s">
        <x:v>33</x:v>
      </x:c>
      <x:c r="C5" s="41" t="s">
        <x:v>34</x:v>
      </x:c>
      <x:c r="D5" s="42" t="s">
        <x:v>35</x:v>
      </x:c>
      <x:c r="E5" s="41" t="s">
        <x:v>36</x:v>
      </x:c>
      <x:c r="F5" s="43" t="s">
        <x:v>37</x:v>
      </x:c>
      <x:c r="G5" s="36"/>
      <x:c r="H5" s="36"/>
      <x:c r="I5" s="36"/>
      <x:c r="J5" s="36"/>
      <x:c r="K5" s="36"/>
      <x:c r="L5" s="36"/>
      <x:c r="M5" s="36"/>
      <x:c r="N5" s="36"/>
      <x:c r="O5" s="36"/>
      <x:c r="P5" s="36"/>
      <x:c r="Q5" s="36"/>
      <x:c r="R5" s="36"/>
      <x:c r="S5" s="36"/>
      <x:c r="T5" s="36"/>
      <x:c r="U5" s="36"/>
      <x:c r="V5" s="36"/>
      <x:c r="W5" s="36"/>
      <x:c r="X5" s="36"/>
      <x:c r="Y5" s="36"/>
      <x:c r="Z5" s="36"/>
      <x:c r="AA5" s="36"/>
      <x:c r="AB5" s="36"/>
    </x:row>
    <x:row r="6" spans="1:28">
      <x:c r="B6" s="40">
        <x:v>1</x:v>
      </x:c>
      <x:c r="C6" s="40">
        <x:v>2</x:v>
      </x:c>
      <x:c r="D6" s="40">
        <x:v>3</x:v>
      </x:c>
      <x:c r="E6" s="40">
        <x:v>4</x:v>
      </x:c>
      <x:c r="F6" s="9">
        <x:v>5</x:v>
      </x:c>
      <x:c r="G6" s="36"/>
      <x:c r="H6" s="36"/>
      <x:c r="I6" s="36"/>
      <x:c r="J6" s="36"/>
      <x:c r="K6" s="36"/>
      <x:c r="L6" s="36"/>
      <x:c r="M6" s="36"/>
      <x:c r="N6" s="36"/>
      <x:c r="O6" s="36"/>
      <x:c r="P6" s="36"/>
      <x:c r="Q6" s="36"/>
      <x:c r="R6" s="36"/>
      <x:c r="S6" s="36"/>
      <x:c r="T6" s="36"/>
      <x:c r="U6" s="36"/>
      <x:c r="V6" s="36"/>
      <x:c r="W6" s="36"/>
      <x:c r="X6" s="36"/>
      <x:c r="Y6" s="36"/>
      <x:c r="Z6" s="36"/>
      <x:c r="AA6" s="36"/>
      <x:c r="AB6" s="36"/>
    </x:row>
    <x:row r="7" spans="1:28">
      <x:c r="B7" s="15" t="e">
        <x:f>IF(ISBLANK(INDIRECT(ADDRESS(ROW(),3))),"",ROW() - 6 + 'Доходы и расходы за 1 квартал'!$Z$2)</x:f>
        <x:v>#NAME?</x:v>
      </x:c>
      <x:c r="C7" s="50" t="s">
        <x:v>238</x:v>
      </x:c>
      <x:c r="D7" s="45" t="s">
        <x:v>239</x:v>
      </x:c>
      <x:c r="E7" s="51">
        <x:v>1438.68</x:v>
      </x:c>
      <x:c r="F7" s="51" t="s">
        <x:v>40</x:v>
      </x:c>
    </x:row>
    <x:row r="8" spans="1:28">
      <x:c r="B8" s="15" t="e">
        <x:f>IF(ISBLANK(INDIRECT(ADDRESS(ROW(),3))),"",ROW() - 6 + 'Доходы и расходы за 1 квартал'!$Z$2)</x:f>
        <x:v>#NAME?</x:v>
      </x:c>
      <x:c r="C8" s="50" t="s">
        <x:v>240</x:v>
      </x:c>
      <x:c r="D8" s="45" t="s">
        <x:v>241</x:v>
      </x:c>
      <x:c r="E8" s="51">
        <x:v>1438.36</x:v>
      </x:c>
      <x:c r="F8" s="51" t="s">
        <x:v>40</x:v>
      </x:c>
    </x:row>
    <x:row r="9" spans="1:28">
      <x:c r="B9" s="15" t="e">
        <x:f>IF(ISBLANK(INDIRECT(ADDRESS(ROW(),3))),"",ROW() - 6 + 'Доходы и расходы за 1 квартал'!$Z$2)</x:f>
        <x:v>#NAME?</x:v>
      </x:c>
      <x:c r="C9" s="50" t="s">
        <x:v>242</x:v>
      </x:c>
      <x:c r="D9" s="45" t="s">
        <x:v>243</x:v>
      </x:c>
      <x:c r="E9" s="51" t="s">
        <x:v>40</x:v>
      </x:c>
      <x:c r="F9" s="51">
        <x:v>49794.19</x:v>
      </x:c>
    </x:row>
    <x:row r="10" spans="1:28">
      <x:c r="B10" s="15" t="e">
        <x:f>IF(ISBLANK(INDIRECT(ADDRESS(ROW(),3))),"",ROW() - 6 + 'Доходы и расходы за 1 квартал'!$Z$2)</x:f>
        <x:v>#NAME?</x:v>
      </x:c>
      <x:c r="C10" s="50" t="s">
        <x:v>244</x:v>
      </x:c>
      <x:c r="D10" s="45" t="s">
        <x:v>93</x:v>
      </x:c>
      <x:c r="E10" s="51" t="s">
        <x:v>40</x:v>
      </x:c>
      <x:c r="F10" s="51">
        <x:v>3087</x:v>
      </x:c>
    </x:row>
    <x:row r="11" spans="1:28">
      <x:c r="B11" s="15" t="e">
        <x:f>IF(ISBLANK(INDIRECT(ADDRESS(ROW(),3))),"",ROW() - 6 + 'Доходы и расходы за 1 квартал'!$Z$2)</x:f>
        <x:v>#NAME?</x:v>
      </x:c>
      <x:c r="C11" s="50" t="s">
        <x:v>245</x:v>
      </x:c>
      <x:c r="D11" s="45" t="s">
        <x:v>246</x:v>
      </x:c>
      <x:c r="E11" s="51" t="s">
        <x:v>40</x:v>
      </x:c>
      <x:c r="F11" s="51">
        <x:v>10500</x:v>
      </x:c>
    </x:row>
    <x:row r="12" spans="1:28">
      <x:c r="B12" s="15" t="e">
        <x:f>IF(ISBLANK(INDIRECT(ADDRESS(ROW(),3))),"",ROW() - 6 + 'Доходы и расходы за 1 квартал'!$Z$2)</x:f>
        <x:v>#NAME?</x:v>
      </x:c>
      <x:c r="C12" s="50" t="s">
        <x:v>247</x:v>
      </x:c>
      <x:c r="D12" s="45" t="s">
        <x:v>248</x:v>
      </x:c>
      <x:c r="E12" s="51" t="s">
        <x:v>40</x:v>
      </x:c>
      <x:c r="F12" s="51">
        <x:v>4521.96</x:v>
      </x:c>
    </x:row>
    <x:row r="13" spans="1:28">
      <x:c r="B13" s="15" t="e">
        <x:f>IF(ISBLANK(INDIRECT(ADDRESS(ROW(),3))),"",ROW() - 6 + 'Доходы и расходы за 1 квартал'!$Z$2)</x:f>
        <x:v>#NAME?</x:v>
      </x:c>
      <x:c r="C13" s="50" t="s">
        <x:v>249</x:v>
      </x:c>
      <x:c r="D13" s="45" t="s">
        <x:v>250</x:v>
      </x:c>
      <x:c r="E13" s="51" t="s">
        <x:v>40</x:v>
      </x:c>
      <x:c r="F13" s="51">
        <x:v>20209</x:v>
      </x:c>
    </x:row>
    <x:row r="14" spans="1:28">
      <x:c r="B14" s="15" t="e">
        <x:f>IF(ISBLANK(INDIRECT(ADDRESS(ROW(),3))),"",ROW() - 6 + 'Доходы и расходы за 1 квартал'!$Z$2)</x:f>
        <x:v>#NAME?</x:v>
      </x:c>
      <x:c r="C14" s="50" t="s">
        <x:v>251</x:v>
      </x:c>
      <x:c r="D14" s="45" t="s">
        <x:v>252</x:v>
      </x:c>
      <x:c r="E14" s="51" t="s">
        <x:v>40</x:v>
      </x:c>
      <x:c r="F14" s="51">
        <x:v>8700</x:v>
      </x:c>
    </x:row>
    <x:row r="15" spans="1:28">
      <x:c r="B15" s="15" t="e">
        <x:f>IF(ISBLANK(INDIRECT(ADDRESS(ROW(),3))),"",ROW() - 6 + 'Доходы и расходы за 1 квартал'!$Z$2)</x:f>
        <x:v>#NAME?</x:v>
      </x:c>
      <x:c r="C15" s="50" t="s">
        <x:v>253</x:v>
      </x:c>
      <x:c r="D15" s="45" t="s">
        <x:v>254</x:v>
      </x:c>
      <x:c r="E15" s="51" t="s">
        <x:v>40</x:v>
      </x:c>
      <x:c r="F15" s="51">
        <x:v>199</x:v>
      </x:c>
    </x:row>
    <x:row r="16" spans="1:28">
      <x:c r="B16" s="15" t="e">
        <x:f>IF(ISBLANK(INDIRECT(ADDRESS(ROW(),3))),"",ROW() - 6 + 'Доходы и расходы за 1 квартал'!$Z$2)</x:f>
        <x:v>#NAME?</x:v>
      </x:c>
      <x:c r="C16" s="50" t="s">
        <x:v>255</x:v>
      </x:c>
      <x:c r="D16" s="45" t="s">
        <x:v>256</x:v>
      </x:c>
      <x:c r="E16" s="51" t="s">
        <x:v>40</x:v>
      </x:c>
      <x:c r="F16" s="51">
        <x:v>1890</x:v>
      </x:c>
    </x:row>
    <x:row r="17" spans="1:28">
      <x:c r="B17" s="15" t="e">
        <x:f>IF(ISBLANK(INDIRECT(ADDRESS(ROW(),3))),"",ROW() - 6 + 'Доходы и расходы за 1 квартал'!$Z$2)</x:f>
        <x:v>#NAME?</x:v>
      </x:c>
      <x:c r="C17" s="50" t="s">
        <x:v>257</x:v>
      </x:c>
      <x:c r="D17" s="45" t="s">
        <x:v>258</x:v>
      </x:c>
      <x:c r="E17" s="51" t="s">
        <x:v>40</x:v>
      </x:c>
      <x:c r="F17" s="51">
        <x:v>7740</x:v>
      </x:c>
    </x:row>
    <x:row r="18" spans="1:28">
      <x:c r="B18" s="15" t="e">
        <x:f>IF(ISBLANK(INDIRECT(ADDRESS(ROW(),3))),"",ROW() - 6 + 'Доходы и расходы за 1 квартал'!$Z$2)</x:f>
        <x:v>#NAME?</x:v>
      </x:c>
      <x:c r="C18" s="50" t="s">
        <x:v>259</x:v>
      </x:c>
      <x:c r="D18" s="45" t="s">
        <x:v>91</x:v>
      </x:c>
      <x:c r="E18" s="51" t="s">
        <x:v>40</x:v>
      </x:c>
      <x:c r="F18" s="51">
        <x:v>14250</x:v>
      </x:c>
    </x:row>
    <x:row r="19" spans="1:28">
      <x:c r="B19" s="15" t="e">
        <x:f>IF(ISBLANK(INDIRECT(ADDRESS(ROW(),3))),"",ROW() - 6 + 'Доходы и расходы за 1 квартал'!$Z$2)</x:f>
        <x:v>#NAME?</x:v>
      </x:c>
      <x:c r="C19" s="50" t="s">
        <x:v>260</x:v>
      </x:c>
      <x:c r="D19" s="45" t="s">
        <x:v>93</x:v>
      </x:c>
      <x:c r="E19" s="51" t="s">
        <x:v>40</x:v>
      </x:c>
      <x:c r="F19" s="51">
        <x:v>3088</x:v>
      </x:c>
    </x:row>
    <x:row r="20" spans="1:28">
      <x:c r="B20" s="15" t="e">
        <x:f>IF(ISBLANK(INDIRECT(ADDRESS(ROW(),3))),"",ROW() - 6 + 'Доходы и расходы за 1 квартал'!$Z$2)</x:f>
        <x:v>#NAME?</x:v>
      </x:c>
      <x:c r="C20" s="50" t="s">
        <x:v>261</x:v>
      </x:c>
      <x:c r="D20" s="45" t="s">
        <x:v>262</x:v>
      </x:c>
      <x:c r="E20" s="51" t="s">
        <x:v>40</x:v>
      </x:c>
      <x:c r="F20" s="51">
        <x:v>8700</x:v>
      </x:c>
    </x:row>
    <x:row r="21" spans="1:28">
      <x:c r="B21" s="15" t="e">
        <x:f>IF(ISBLANK(INDIRECT(ADDRESS(ROW(),3))),"",ROW() - 6 + 'Доходы и расходы за 1 квартал'!$Z$2)</x:f>
        <x:v>#NAME?</x:v>
      </x:c>
      <x:c r="C21" s="50" t="s">
        <x:v>263</x:v>
      </x:c>
      <x:c r="D21" s="45" t="s">
        <x:v>264</x:v>
      </x:c>
      <x:c r="E21" s="51" t="s">
        <x:v>40</x:v>
      </x:c>
      <x:c r="F21" s="51">
        <x:v>95</x:v>
      </x:c>
    </x:row>
    <x:row r="22" spans="1:28">
      <x:c r="B22" s="15" t="e">
        <x:f>IF(ISBLANK(INDIRECT(ADDRESS(ROW(),3))),"",ROW() - 6 + 'Доходы и расходы за 1 квартал'!$Z$2)</x:f>
        <x:v>#NAME?</x:v>
      </x:c>
      <x:c r="C22" s="50" t="s">
        <x:v>265</x:v>
      </x:c>
      <x:c r="D22" s="45" t="s">
        <x:v>266</x:v>
      </x:c>
      <x:c r="E22" s="51" t="s">
        <x:v>40</x:v>
      </x:c>
      <x:c r="F22" s="51">
        <x:v>50000</x:v>
      </x:c>
    </x:row>
    <x:row r="23" spans="1:28">
      <x:c r="B23" s="15" t="e">
        <x:f>IF(ISBLANK(INDIRECT(ADDRESS(ROW(),3))),"",ROW() - 6 + 'Доходы и расходы за 1 квартал'!$Z$2)</x:f>
        <x:v>#NAME?</x:v>
      </x:c>
      <x:c r="C23" s="50" t="s">
        <x:v>267</x:v>
      </x:c>
      <x:c r="D23" s="45" t="s">
        <x:v>268</x:v>
      </x:c>
      <x:c r="E23" s="51" t="s">
        <x:v>40</x:v>
      </x:c>
      <x:c r="F23" s="51">
        <x:v>44680</x:v>
      </x:c>
    </x:row>
    <x:row r="24" spans="1:28">
      <x:c r="B24" s="15" t="e">
        <x:f>IF(ISBLANK(INDIRECT(ADDRESS(ROW(),3))),"",ROW() - 6 + 'Доходы и расходы за 1 квартал'!$Z$2)</x:f>
        <x:v>#NAME?</x:v>
      </x:c>
      <x:c r="C24" s="50" t="s">
        <x:v>269</x:v>
      </x:c>
      <x:c r="D24" s="45" t="s">
        <x:v>270</x:v>
      </x:c>
      <x:c r="E24" s="51" t="s">
        <x:v>40</x:v>
      </x:c>
      <x:c r="F24" s="51">
        <x:v>1</x:v>
      </x:c>
    </x:row>
    <x:row r="25" spans="1:28">
      <x:c r="B25" s="15" t="e">
        <x:f>IF(ISBLANK(INDIRECT(ADDRESS(ROW(),3))),"",ROW() - 6 + 'Доходы и расходы за 1 квартал'!$Z$2)</x:f>
        <x:v>#NAME?</x:v>
      </x:c>
      <x:c r="C25" s="50" t="s">
        <x:v>271</x:v>
      </x:c>
      <x:c r="D25" s="45" t="s">
        <x:v>272</x:v>
      </x:c>
      <x:c r="E25" s="51" t="s">
        <x:v>40</x:v>
      </x:c>
      <x:c r="F25" s="51">
        <x:v>11963</x:v>
      </x:c>
    </x:row>
    <x:row r="26" spans="1:28">
      <x:c r="B26" s="15" t="e">
        <x:f>IF(ISBLANK(INDIRECT(ADDRESS(ROW(),3))),"",ROW() - 6 + 'Доходы и расходы за 1 квартал'!$Z$2)</x:f>
        <x:v>#NAME?</x:v>
      </x:c>
      <x:c r="C26" s="50" t="s">
        <x:v>273</x:v>
      </x:c>
      <x:c r="D26" s="45" t="s">
        <x:v>274</x:v>
      </x:c>
      <x:c r="E26" s="51" t="s">
        <x:v>40</x:v>
      </x:c>
      <x:c r="F26" s="51">
        <x:v>29255</x:v>
      </x:c>
    </x:row>
    <x:row r="27" spans="1:28">
      <x:c r="B27" s="15" t="e">
        <x:f>IF(ISBLANK(INDIRECT(ADDRESS(ROW(),3))),"",ROW() - 6 + 'Доходы и расходы за 1 квартал'!$Z$2)</x:f>
        <x:v>#NAME?</x:v>
      </x:c>
      <x:c r="C27" s="50" t="s">
        <x:v>275</x:v>
      </x:c>
      <x:c r="D27" s="45" t="s">
        <x:v>266</x:v>
      </x:c>
      <x:c r="E27" s="51" t="s">
        <x:v>40</x:v>
      </x:c>
      <x:c r="F27" s="51">
        <x:v>50000</x:v>
      </x:c>
    </x:row>
    <x:row r="28" spans="1:28">
      <x:c r="B28" s="15" t="e">
        <x:f>IF(ISBLANK(INDIRECT(ADDRESS(ROW(),3))),"",ROW() - 6 + 'Доходы и расходы за 1 квартал'!$Z$2)</x:f>
        <x:v>#NAME?</x:v>
      </x:c>
      <x:c r="C28" s="50" t="s">
        <x:v>276</x:v>
      </x:c>
      <x:c r="D28" s="45" t="s">
        <x:v>277</x:v>
      </x:c>
      <x:c r="E28" s="51" t="s">
        <x:v>40</x:v>
      </x:c>
      <x:c r="F28" s="51">
        <x:v>449</x:v>
      </x:c>
    </x:row>
    <x:row r="29" spans="1:28">
      <x:c r="B29" s="15" t="e">
        <x:f>IF(ISBLANK(INDIRECT(ADDRESS(ROW(),3))),"",ROW() - 6 + 'Доходы и расходы за 1 квартал'!$Z$2)</x:f>
        <x:v>#NAME?</x:v>
      </x:c>
      <x:c r="C29" s="50" t="s">
        <x:v>265</x:v>
      </x:c>
      <x:c r="D29" s="45" t="s">
        <x:v>278</x:v>
      </x:c>
      <x:c r="E29" s="51">
        <x:v>50000</x:v>
      </x:c>
      <x:c r="F29" s="51" t="s">
        <x:v>40</x:v>
      </x:c>
    </x:row>
    <x:row r="30" spans="1:28">
      <x:c r="B30" s="15" t="e">
        <x:f>IF(ISBLANK(INDIRECT(ADDRESS(ROW(),3))),"",ROW() - 6 + 'Доходы и расходы за 1 квартал'!$Z$2)</x:f>
        <x:v>#NAME?</x:v>
      </x:c>
      <x:c r="C30" s="50" t="s">
        <x:v>279</x:v>
      </x:c>
      <x:c r="D30" s="45" t="s">
        <x:v>51</x:v>
      </x:c>
      <x:c r="E30" s="51">
        <x:v>1871610</x:v>
      </x:c>
      <x:c r="F30" s="51" t="s">
        <x:v>40</x:v>
      </x:c>
    </x:row>
    <x:row r="31" spans="1:28">
      <x:c r="B31" s="15" t="e">
        <x:f>IF(ISBLANK(INDIRECT(ADDRESS(ROW(),3))),"",ROW() - 6 + 'Доходы и расходы за 1 квартал'!$Z$2)</x:f>
        <x:v>#NAME?</x:v>
      </x:c>
      <x:c r="C31" s="50" t="s">
        <x:v>280</x:v>
      </x:c>
      <x:c r="D31" s="45" t="s">
        <x:v>51</x:v>
      </x:c>
      <x:c r="E31" s="51">
        <x:v>5689</x:v>
      </x:c>
      <x:c r="F31" s="51" t="s">
        <x:v>40</x:v>
      </x:c>
    </x:row>
    <x:row r="32" spans="1:28">
      <x:c r="B32" s="15" t="e">
        <x:f>IF(ISBLANK(INDIRECT(ADDRESS(ROW(),3))),"",ROW() - 6 + 'Доходы и расходы за 1 квартал'!$Z$2)</x:f>
        <x:v>#NAME?</x:v>
      </x:c>
      <x:c r="C32" s="50" t="s">
        <x:v>280</x:v>
      </x:c>
      <x:c r="D32" s="45" t="s">
        <x:v>51</x:v>
      </x:c>
      <x:c r="E32" s="51">
        <x:v>2982</x:v>
      </x:c>
      <x:c r="F32" s="51" t="s">
        <x:v>40</x:v>
      </x:c>
    </x:row>
    <x:row r="33" spans="1:28">
      <x:c r="B33" s="15" t="e">
        <x:f>IF(ISBLANK(INDIRECT(ADDRESS(ROW(),3))),"",ROW() - 6 + 'Доходы и расходы за 1 квартал'!$Z$2)</x:f>
        <x:v>#NAME?</x:v>
      </x:c>
      <x:c r="C33" s="50" t="s">
        <x:v>280</x:v>
      </x:c>
      <x:c r="D33" s="45" t="s">
        <x:v>51</x:v>
      </x:c>
      <x:c r="E33" s="51">
        <x:v>1347</x:v>
      </x:c>
      <x:c r="F33" s="51" t="s">
        <x:v>40</x:v>
      </x:c>
    </x:row>
    <x:row r="34" spans="1:28">
      <x:c r="B34" s="15" t="e">
        <x:f>IF(ISBLANK(INDIRECT(ADDRESS(ROW(),3))),"",ROW() - 6 + 'Доходы и расходы за 1 квартал'!$Z$2)</x:f>
        <x:v>#NAME?</x:v>
      </x:c>
      <x:c r="C34" s="50" t="s">
        <x:v>280</x:v>
      </x:c>
      <x:c r="D34" s="45" t="s">
        <x:v>52</x:v>
      </x:c>
      <x:c r="E34" s="51" t="s">
        <x:v>40</x:v>
      </x:c>
      <x:c r="F34" s="51">
        <x:v>239593</x:v>
      </x:c>
    </x:row>
    <x:row r="35" spans="1:28">
      <x:c r="B35" s="15" t="e">
        <x:f>IF(ISBLANK(INDIRECT(ADDRESS(ROW(),3))),"",ROW() - 6 + 'Доходы и расходы за 1 квартал'!$Z$2)</x:f>
        <x:v>#NAME?</x:v>
      </x:c>
      <x:c r="C35" s="50" t="s">
        <x:v>280</x:v>
      </x:c>
      <x:c r="D35" s="45" t="s">
        <x:v>52</x:v>
      </x:c>
      <x:c r="E35" s="51" t="s">
        <x:v>40</x:v>
      </x:c>
      <x:c r="F35" s="51">
        <x:v>41702</x:v>
      </x:c>
    </x:row>
    <x:row r="36" spans="1:28">
      <x:c r="B36" s="15" t="e">
        <x:f>IF(ISBLANK(INDIRECT(ADDRESS(ROW(),3))),"",ROW() - 6 + 'Доходы и расходы за 1 квартал'!$Z$2)</x:f>
        <x:v>#NAME?</x:v>
      </x:c>
      <x:c r="C36" s="50" t="s">
        <x:v>280</x:v>
      </x:c>
      <x:c r="D36" s="45" t="s">
        <x:v>52</x:v>
      </x:c>
      <x:c r="E36" s="51" t="s">
        <x:v>40</x:v>
      </x:c>
      <x:c r="F36" s="51">
        <x:v>17770</x:v>
      </x:c>
    </x:row>
    <x:row r="37" spans="1:28">
      <x:c r="B37" s="15" t="e">
        <x:f>IF(ISBLANK(INDIRECT(ADDRESS(ROW(),3))),"",ROW() - 6 + 'Доходы и расходы за 1 квартал'!$Z$2)</x:f>
        <x:v>#NAME?</x:v>
      </x:c>
      <x:c r="C37" s="50" t="s">
        <x:v>280</x:v>
      </x:c>
      <x:c r="D37" s="45" t="s">
        <x:v>52</x:v>
      </x:c>
      <x:c r="E37" s="51" t="s">
        <x:v>40</x:v>
      </x:c>
      <x:c r="F37" s="51">
        <x:v>13978</x:v>
      </x:c>
    </x:row>
    <x:row r="38" spans="1:28">
      <x:c r="B38" s="15" t="e">
        <x:f>IF(ISBLANK(INDIRECT(ADDRESS(ROW(),3))),"",ROW() - 6 + 'Доходы и расходы за 1 квартал'!$Z$2)</x:f>
        <x:v>#NAME?</x:v>
      </x:c>
      <x:c r="C38" s="50" t="s">
        <x:v>280</x:v>
      </x:c>
      <x:c r="D38" s="45" t="s">
        <x:v>51</x:v>
      </x:c>
      <x:c r="E38" s="51">
        <x:v>1698268.31</x:v>
      </x:c>
      <x:c r="F38" s="51" t="s">
        <x:v>40</x:v>
      </x:c>
    </x:row>
    <x:row r="39" spans="1:28">
      <x:c r="B39" s="15" t="e">
        <x:f>IF(ISBLANK(INDIRECT(ADDRESS(ROW(),3))),"",ROW() - 6 + 'Доходы и расходы за 1 квартал'!$Z$2)</x:f>
        <x:v>#NAME?</x:v>
      </x:c>
      <x:c r="C39" s="50" t="s">
        <x:v>280</x:v>
      </x:c>
      <x:c r="D39" s="45" t="s">
        <x:v>281</x:v>
      </x:c>
      <x:c r="E39" s="51" t="s">
        <x:v>40</x:v>
      </x:c>
      <x:c r="F39" s="51">
        <x:v>740883</x:v>
      </x:c>
    </x:row>
    <x:row r="40" spans="1:28">
      <x:c r="B40" s="15" t="e">
        <x:f>IF(ISBLANK(INDIRECT(ADDRESS(ROW(),3))),"",ROW() - 6 + 'Доходы и расходы за 1 квартал'!$Z$2)</x:f>
        <x:v>#NAME?</x:v>
      </x:c>
      <x:c r="C40" s="50" t="s">
        <x:v>280</x:v>
      </x:c>
      <x:c r="D40" s="45" t="s">
        <x:v>281</x:v>
      </x:c>
      <x:c r="E40" s="51" t="s">
        <x:v>40</x:v>
      </x:c>
      <x:c r="F40" s="51">
        <x:v>731738</x:v>
      </x:c>
    </x:row>
    <x:row r="41" spans="1:28">
      <x:c r="B41" s="15" t="e">
        <x:f>IF(ISBLANK(INDIRECT(ADDRESS(ROW(),3))),"",ROW() - 6 + 'Доходы и расходы за 1 квартал'!$Z$2)</x:f>
        <x:v>#NAME?</x:v>
      </x:c>
      <x:c r="C41" s="50" t="s">
        <x:v>280</x:v>
      </x:c>
      <x:c r="D41" s="45" t="s">
        <x:v>52</x:v>
      </x:c>
      <x:c r="E41" s="51" t="s">
        <x:v>40</x:v>
      </x:c>
      <x:c r="F41" s="51">
        <x:v>31881.19</x:v>
      </x:c>
    </x:row>
    <x:row r="42" spans="1:28">
      <x:c r="B42" s="15" t="e">
        <x:f>IF(ISBLANK(INDIRECT(ADDRESS(ROW(),3))),"",ROW() - 6 + 'Доходы и расходы за 1 квартал'!$Z$2)</x:f>
        <x:v>#NAME?</x:v>
      </x:c>
      <x:c r="C42" s="50" t="s">
        <x:v>282</x:v>
      </x:c>
      <x:c r="D42" s="45" t="s">
        <x:v>283</x:v>
      </x:c>
      <x:c r="E42" s="51" t="s">
        <x:v>40</x:v>
      </x:c>
      <x:c r="F42" s="51">
        <x:v>50000</x:v>
      </x:c>
    </x:row>
    <x:row r="43" spans="1:28">
      <x:c r="B43" s="15" t="e">
        <x:f>IF(ISBLANK(INDIRECT(ADDRESS(ROW(),3))),"",ROW() - 6 + 'Доходы и расходы за 1 квартал'!$Z$2)</x:f>
        <x:v>#NAME?</x:v>
      </x:c>
      <x:c r="C43" s="50" t="s">
        <x:v>284</x:v>
      </x:c>
      <x:c r="D43" s="45" t="s">
        <x:v>93</x:v>
      </x:c>
      <x:c r="E43" s="51" t="s">
        <x:v>40</x:v>
      </x:c>
      <x:c r="F43" s="51">
        <x:v>3087</x:v>
      </x:c>
    </x:row>
    <x:row r="44" spans="1:28">
      <x:c r="B44" s="15" t="e">
        <x:f>IF(ISBLANK(INDIRECT(ADDRESS(ROW(),3))),"",ROW() - 6 + 'Доходы и расходы за 1 квартал'!$Z$2)</x:f>
        <x:v>#NAME?</x:v>
      </x:c>
      <x:c r="C44" s="50" t="s">
        <x:v>285</x:v>
      </x:c>
      <x:c r="D44" s="45" t="s">
        <x:v>286</x:v>
      </x:c>
      <x:c r="E44" s="51" t="s">
        <x:v>40</x:v>
      </x:c>
      <x:c r="F44" s="51">
        <x:v>49102.03</x:v>
      </x:c>
    </x:row>
    <x:row r="45" spans="1:28">
      <x:c r="B45" s="15" t="e">
        <x:f>IF(ISBLANK(INDIRECT(ADDRESS(ROW(),3))),"",ROW() - 6 + 'Доходы и расходы за 1 квартал'!$Z$2)</x:f>
        <x:v>#NAME?</x:v>
      </x:c>
      <x:c r="C45" s="50" t="s">
        <x:v>287</x:v>
      </x:c>
      <x:c r="D45" s="45" t="s">
        <x:v>283</x:v>
      </x:c>
      <x:c r="E45" s="51" t="s">
        <x:v>40</x:v>
      </x:c>
      <x:c r="F45" s="51">
        <x:v>50000</x:v>
      </x:c>
    </x:row>
    <x:row r="46" spans="1:28">
      <x:c r="B46" s="15" t="e">
        <x:f>IF(ISBLANK(INDIRECT(ADDRESS(ROW(),3))),"",ROW() - 6 + 'Доходы и расходы за 1 квартал'!$Z$2)</x:f>
        <x:v>#NAME?</x:v>
      </x:c>
      <x:c r="C46" s="50" t="s">
        <x:v>288</x:v>
      </x:c>
      <x:c r="D46" s="45" t="s">
        <x:v>289</x:v>
      </x:c>
      <x:c r="E46" s="51" t="s">
        <x:v>40</x:v>
      </x:c>
      <x:c r="F46" s="51">
        <x:v>630.32</x:v>
      </x:c>
    </x:row>
    <x:row r="47" spans="1:28">
      <x:c r="B47" s="15" t="e">
        <x:f>IF(ISBLANK(INDIRECT(ADDRESS(ROW(),3))),"",ROW() - 6 + 'Доходы и расходы за 1 квартал'!$Z$2)</x:f>
        <x:v>#NAME?</x:v>
      </x:c>
      <x:c r="C47" s="50" t="s">
        <x:v>290</x:v>
      </x:c>
      <x:c r="D47" s="45" t="s">
        <x:v>291</x:v>
      </x:c>
      <x:c r="E47" s="51" t="s">
        <x:v>40</x:v>
      </x:c>
      <x:c r="F47" s="51">
        <x:v>838.53</x:v>
      </x:c>
    </x:row>
    <x:row r="48" spans="1:28">
      <x:c r="B48" s="15" t="e">
        <x:f>IF(ISBLANK(INDIRECT(ADDRESS(ROW(),3))),"",ROW() - 6 + 'Доходы и расходы за 1 квартал'!$Z$2)</x:f>
        <x:v>#NAME?</x:v>
      </x:c>
      <x:c r="C48" s="50" t="s">
        <x:v>292</x:v>
      </x:c>
      <x:c r="D48" s="45" t="s">
        <x:v>293</x:v>
      </x:c>
      <x:c r="E48" s="51" t="s">
        <x:v>40</x:v>
      </x:c>
      <x:c r="F48" s="51">
        <x:v>28342.5</x:v>
      </x:c>
    </x:row>
    <x:row r="49" spans="1:28">
      <x:c r="B49" s="15" t="e">
        <x:f>IF(ISBLANK(INDIRECT(ADDRESS(ROW(),3))),"",ROW() - 6 + 'Доходы и расходы за 1 квартал'!$Z$2)</x:f>
        <x:v>#NAME?</x:v>
      </x:c>
      <x:c r="C49" s="50" t="s">
        <x:v>294</x:v>
      </x:c>
      <x:c r="D49" s="45" t="s">
        <x:v>283</x:v>
      </x:c>
      <x:c r="E49" s="51" t="s">
        <x:v>40</x:v>
      </x:c>
      <x:c r="F49" s="51">
        <x:v>75000</x:v>
      </x:c>
    </x:row>
    <x:row r="50" spans="1:28">
      <x:c r="B50" s="15" t="e">
        <x:f>IF(ISBLANK(INDIRECT(ADDRESS(ROW(),3))),"",ROW() - 6 + 'Доходы и расходы за 1 квартал'!$Z$2)</x:f>
        <x:v>#NAME?</x:v>
      </x:c>
      <x:c r="C50" s="50" t="s">
        <x:v>295</x:v>
      </x:c>
      <x:c r="D50" s="45" t="s">
        <x:v>296</x:v>
      </x:c>
      <x:c r="E50" s="51" t="s">
        <x:v>40</x:v>
      </x:c>
      <x:c r="F50" s="51">
        <x:v>3427.22</x:v>
      </x:c>
    </x:row>
    <x:row r="51" spans="1:28">
      <x:c r="B51" s="15" t="e">
        <x:f>IF(ISBLANK(INDIRECT(ADDRESS(ROW(),3))),"",ROW() - 6 + 'Доходы и расходы за 1 квартал'!$Z$2)</x:f>
        <x:v>#NAME?</x:v>
      </x:c>
      <x:c r="C51" s="50" t="s">
        <x:v>297</x:v>
      </x:c>
      <x:c r="D51" s="45" t="s">
        <x:v>298</x:v>
      </x:c>
      <x:c r="E51" s="51" t="s">
        <x:v>40</x:v>
      </x:c>
      <x:c r="F51" s="51">
        <x:v>27660</x:v>
      </x:c>
    </x:row>
    <x:row r="52" spans="1:28">
      <x:c r="B52" s="15" t="e">
        <x:f>IF(ISBLANK(INDIRECT(ADDRESS(ROW(),3))),"",ROW() - 6 + 'Доходы и расходы за 1 квартал'!$Z$2)</x:f>
        <x:v>#NAME?</x:v>
      </x:c>
      <x:c r="C52" s="50" t="s">
        <x:v>299</x:v>
      </x:c>
      <x:c r="D52" s="45" t="s">
        <x:v>300</x:v>
      </x:c>
      <x:c r="E52" s="51" t="s">
        <x:v>40</x:v>
      </x:c>
      <x:c r="F52" s="51">
        <x:v>8700</x:v>
      </x:c>
    </x:row>
    <x:row r="53" spans="1:28">
      <x:c r="B53" s="15" t="e">
        <x:f>IF(ISBLANK(INDIRECT(ADDRESS(ROW(),3))),"",ROW() - 6 + 'Доходы и расходы за 1 квартал'!$Z$2)</x:f>
        <x:v>#NAME?</x:v>
      </x:c>
      <x:c r="C53" s="50" t="s">
        <x:v>301</x:v>
      </x:c>
      <x:c r="D53" s="45" t="s">
        <x:v>302</x:v>
      </x:c>
      <x:c r="E53" s="51" t="s">
        <x:v>40</x:v>
      </x:c>
      <x:c r="F53" s="51">
        <x:v>11962</x:v>
      </x:c>
    </x:row>
    <x:row r="54" spans="1:28">
      <x:c r="B54" s="15" t="e">
        <x:f>IF(ISBLANK(INDIRECT(ADDRESS(ROW(),3))),"",ROW() - 6 + 'Доходы и расходы за 1 квартал'!$Z$2)</x:f>
        <x:v>#NAME?</x:v>
      </x:c>
      <x:c r="C54" s="50" t="s">
        <x:v>303</x:v>
      </x:c>
      <x:c r="D54" s="45" t="s">
        <x:v>304</x:v>
      </x:c>
      <x:c r="E54" s="51" t="s">
        <x:v>40</x:v>
      </x:c>
      <x:c r="F54" s="51">
        <x:v>199</x:v>
      </x:c>
    </x:row>
    <x:row r="55" spans="1:28">
      <x:c r="B55" s="15" t="e">
        <x:f>IF(ISBLANK(INDIRECT(ADDRESS(ROW(),3))),"",ROW() - 6 + 'Доходы и расходы за 1 квартал'!$Z$2)</x:f>
        <x:v>#NAME?</x:v>
      </x:c>
      <x:c r="C55" s="50" t="s">
        <x:v>305</x:v>
      </x:c>
      <x:c r="D55" s="45" t="s">
        <x:v>306</x:v>
      </x:c>
      <x:c r="E55" s="51" t="s">
        <x:v>40</x:v>
      </x:c>
      <x:c r="F55" s="51">
        <x:v>44680</x:v>
      </x:c>
    </x:row>
    <x:row r="56" spans="1:28">
      <x:c r="B56" s="15" t="e">
        <x:f>IF(ISBLANK(INDIRECT(ADDRESS(ROW(),3))),"",ROW() - 6 + 'Доходы и расходы за 1 квартал'!$Z$2)</x:f>
        <x:v>#NAME?</x:v>
      </x:c>
      <x:c r="C56" s="50" t="s">
        <x:v>307</x:v>
      </x:c>
      <x:c r="D56" s="45" t="s">
        <x:v>308</x:v>
      </x:c>
      <x:c r="E56" s="51" t="s">
        <x:v>40</x:v>
      </x:c>
      <x:c r="F56" s="51">
        <x:v>29260</x:v>
      </x:c>
    </x:row>
    <x:row r="57" spans="1:28">
      <x:c r="B57" s="15" t="e">
        <x:f>IF(ISBLANK(INDIRECT(ADDRESS(ROW(),3))),"",ROW() - 6 + 'Доходы и расходы за 1 квартал'!$Z$2)</x:f>
        <x:v>#NAME?</x:v>
      </x:c>
      <x:c r="C57" s="50" t="s">
        <x:v>309</x:v>
      </x:c>
      <x:c r="D57" s="45" t="s">
        <x:v>310</x:v>
      </x:c>
      <x:c r="E57" s="51" t="s">
        <x:v>40</x:v>
      </x:c>
      <x:c r="F57" s="51">
        <x:v>50000</x:v>
      </x:c>
    </x:row>
    <x:row r="58" spans="1:28">
      <x:c r="B58" s="15" t="e">
        <x:f>IF(ISBLANK(INDIRECT(ADDRESS(ROW(),3))),"",ROW() - 6 + 'Доходы и расходы за 1 квартал'!$Z$2)</x:f>
        <x:v>#NAME?</x:v>
      </x:c>
      <x:c r="C58" s="50" t="s">
        <x:v>311</x:v>
      </x:c>
      <x:c r="D58" s="45" t="s">
        <x:v>312</x:v>
      </x:c>
      <x:c r="E58" s="51" t="s">
        <x:v>40</x:v>
      </x:c>
      <x:c r="F58" s="51">
        <x:v>5916</x:v>
      </x:c>
    </x:row>
    <x:row r="59" spans="1:28">
      <x:c r="B59" s="15" t="e">
        <x:f>IF(ISBLANK(INDIRECT(ADDRESS(ROW(),3))),"",ROW() - 6 + 'Доходы и расходы за 1 квартал'!$Z$2)</x:f>
        <x:v>#NAME?</x:v>
      </x:c>
      <x:c r="C59" s="50" t="s">
        <x:v>313</x:v>
      </x:c>
      <x:c r="D59" s="45" t="s">
        <x:v>314</x:v>
      </x:c>
      <x:c r="E59" s="51" t="s">
        <x:v>40</x:v>
      </x:c>
      <x:c r="F59" s="51">
        <x:v>1890</x:v>
      </x:c>
    </x:row>
    <x:row r="60" spans="1:28">
      <x:c r="B60" s="15" t="e">
        <x:f>IF(ISBLANK(INDIRECT(ADDRESS(ROW(),3))),"",ROW() - 6 + 'Доходы и расходы за 1 квартал'!$Z$2)</x:f>
        <x:v>#NAME?</x:v>
      </x:c>
      <x:c r="C60" s="50" t="s">
        <x:v>315</x:v>
      </x:c>
      <x:c r="D60" s="45" t="s">
        <x:v>310</x:v>
      </x:c>
      <x:c r="E60" s="51" t="s">
        <x:v>40</x:v>
      </x:c>
      <x:c r="F60" s="51">
        <x:v>100000</x:v>
      </x:c>
    </x:row>
    <x:row r="61" spans="1:28">
      <x:c r="B61" s="15" t="e">
        <x:f>IF(ISBLANK(INDIRECT(ADDRESS(ROW(),3))),"",ROW() - 6 + 'Доходы и расходы за 1 квартал'!$Z$2)</x:f>
        <x:v>#NAME?</x:v>
      </x:c>
      <x:c r="C61" s="50" t="s">
        <x:v>316</x:v>
      </x:c>
      <x:c r="D61" s="45" t="s">
        <x:v>317</x:v>
      </x:c>
      <x:c r="E61" s="51" t="s">
        <x:v>40</x:v>
      </x:c>
      <x:c r="F61" s="51">
        <x:v>21600</x:v>
      </x:c>
    </x:row>
    <x:row r="62" spans="1:28">
      <x:c r="B62" s="15" t="e">
        <x:f>IF(ISBLANK(INDIRECT(ADDRESS(ROW(),3))),"",ROW() - 6 + 'Доходы и расходы за 1 квартал'!$Z$2)</x:f>
        <x:v>#NAME?</x:v>
      </x:c>
      <x:c r="C62" s="50" t="s">
        <x:v>318</x:v>
      </x:c>
      <x:c r="D62" s="45" t="s">
        <x:v>91</x:v>
      </x:c>
      <x:c r="E62" s="51" t="s">
        <x:v>40</x:v>
      </x:c>
      <x:c r="F62" s="51">
        <x:v>14250</x:v>
      </x:c>
    </x:row>
    <x:row r="63" spans="1:28">
      <x:c r="B63" s="15" t="e">
        <x:f>IF(ISBLANK(INDIRECT(ADDRESS(ROW(),3))),"",ROW() - 6 + 'Доходы и расходы за 1 квартал'!$Z$2)</x:f>
        <x:v>#NAME?</x:v>
      </x:c>
      <x:c r="C63" s="50" t="s">
        <x:v>319</x:v>
      </x:c>
      <x:c r="D63" s="45" t="s">
        <x:v>93</x:v>
      </x:c>
      <x:c r="E63" s="51" t="s">
        <x:v>40</x:v>
      </x:c>
      <x:c r="F63" s="51">
        <x:v>3088</x:v>
      </x:c>
    </x:row>
    <x:row r="64" spans="1:28">
      <x:c r="B64" s="15" t="e">
        <x:f>IF(ISBLANK(INDIRECT(ADDRESS(ROW(),3))),"",ROW() - 6 + 'Доходы и расходы за 1 квартал'!$Z$2)</x:f>
        <x:v>#NAME?</x:v>
      </x:c>
      <x:c r="C64" s="50" t="s">
        <x:v>320</x:v>
      </x:c>
      <x:c r="D64" s="45" t="s">
        <x:v>321</x:v>
      </x:c>
      <x:c r="E64" s="51" t="s">
        <x:v>40</x:v>
      </x:c>
      <x:c r="F64" s="51">
        <x:v>990</x:v>
      </x:c>
    </x:row>
    <x:row r="65" spans="1:28">
      <x:c r="B65" s="15" t="e">
        <x:f>IF(ISBLANK(INDIRECT(ADDRESS(ROW(),3))),"",ROW() - 6 + 'Доходы и расходы за 1 квартал'!$Z$2)</x:f>
        <x:v>#NAME?</x:v>
      </x:c>
      <x:c r="C65" s="50" t="s">
        <x:v>322</x:v>
      </x:c>
      <x:c r="D65" s="45" t="s">
        <x:v>300</x:v>
      </x:c>
      <x:c r="E65" s="51" t="s">
        <x:v>40</x:v>
      </x:c>
      <x:c r="F65" s="51">
        <x:v>8700</x:v>
      </x:c>
    </x:row>
    <x:row r="66" spans="1:28">
      <x:c r="B66" s="15" t="e">
        <x:f>IF(ISBLANK(INDIRECT(ADDRESS(ROW(),3))),"",ROW() - 6 + 'Доходы и расходы за 1 квартал'!$Z$2)</x:f>
        <x:v>#NAME?</x:v>
      </x:c>
      <x:c r="C66" s="50" t="s">
        <x:v>323</x:v>
      </x:c>
      <x:c r="D66" s="45" t="s">
        <x:v>324</x:v>
      </x:c>
      <x:c r="E66" s="51" t="s">
        <x:v>40</x:v>
      </x:c>
      <x:c r="F66" s="51">
        <x:v>95</x:v>
      </x:c>
    </x:row>
    <x:row r="67" spans="1:28">
      <x:c r="B67" s="15" t="e">
        <x:f>IF(ISBLANK(INDIRECT(ADDRESS(ROW(),3))),"",ROW() - 6 + 'Доходы и расходы за 1 квартал'!$Z$2)</x:f>
        <x:v>#NAME?</x:v>
      </x:c>
      <x:c r="C67" s="50" t="s">
        <x:v>325</x:v>
      </x:c>
      <x:c r="D67" s="45" t="s">
        <x:v>302</x:v>
      </x:c>
      <x:c r="E67" s="51" t="s">
        <x:v>40</x:v>
      </x:c>
      <x:c r="F67" s="51">
        <x:v>11962</x:v>
      </x:c>
    </x:row>
    <x:row r="68" spans="1:28">
      <x:c r="B68" s="15" t="e">
        <x:f>IF(ISBLANK(INDIRECT(ADDRESS(ROW(),3))),"",ROW() - 6 + 'Доходы и расходы за 1 квартал'!$Z$2)</x:f>
        <x:v>#NAME?</x:v>
      </x:c>
      <x:c r="C68" s="50" t="s">
        <x:v>326</x:v>
      </x:c>
      <x:c r="D68" s="45" t="s">
        <x:v>327</x:v>
      </x:c>
      <x:c r="E68" s="51" t="s">
        <x:v>40</x:v>
      </x:c>
      <x:c r="F68" s="51">
        <x:v>150000</x:v>
      </x:c>
    </x:row>
    <x:row r="69" spans="1:28">
      <x:c r="B69" s="15" t="e">
        <x:f>IF(ISBLANK(INDIRECT(ADDRESS(ROW(),3))),"",ROW() - 6 + 'Доходы и расходы за 1 квартал'!$Z$2)</x:f>
        <x:v>#NAME?</x:v>
      </x:c>
      <x:c r="C69" s="50" t="s">
        <x:v>328</x:v>
      </x:c>
      <x:c r="D69" s="45" t="s">
        <x:v>329</x:v>
      </x:c>
      <x:c r="E69" s="51" t="s">
        <x:v>40</x:v>
      </x:c>
      <x:c r="F69" s="51">
        <x:v>449</x:v>
      </x:c>
    </x:row>
    <x:row r="70" spans="1:28">
      <x:c r="B70" s="15" t="e">
        <x:f>IF(ISBLANK(INDIRECT(ADDRESS(ROW(),3))),"",ROW() - 6 + 'Доходы и расходы за 1 квартал'!$Z$2)</x:f>
        <x:v>#NAME?</x:v>
      </x:c>
      <x:c r="C70" s="50" t="s">
        <x:v>330</x:v>
      </x:c>
      <x:c r="D70" s="45" t="s">
        <x:v>51</x:v>
      </x:c>
      <x:c r="E70" s="51">
        <x:v>23771</x:v>
      </x:c>
      <x:c r="F70" s="51" t="s">
        <x:v>40</x:v>
      </x:c>
    </x:row>
    <x:row r="71" spans="1:28">
      <x:c r="B71" s="15" t="e">
        <x:f>IF(ISBLANK(INDIRECT(ADDRESS(ROW(),3))),"",ROW() - 6 + 'Доходы и расходы за 1 квартал'!$Z$2)</x:f>
        <x:v>#NAME?</x:v>
      </x:c>
      <x:c r="C71" s="50" t="s">
        <x:v>331</x:v>
      </x:c>
      <x:c r="D71" s="45" t="s">
        <x:v>51</x:v>
      </x:c>
      <x:c r="E71" s="51">
        <x:v>1653102</x:v>
      </x:c>
      <x:c r="F71" s="51" t="s">
        <x:v>40</x:v>
      </x:c>
    </x:row>
    <x:row r="72" spans="1:28">
      <x:c r="B72" s="15" t="e">
        <x:f>IF(ISBLANK(INDIRECT(ADDRESS(ROW(),3))),"",ROW() - 6 + 'Доходы и расходы за 1 квартал'!$Z$2)</x:f>
        <x:v>#NAME?</x:v>
      </x:c>
      <x:c r="C72" s="50" t="s">
        <x:v>332</x:v>
      </x:c>
      <x:c r="D72" s="45" t="s">
        <x:v>51</x:v>
      </x:c>
      <x:c r="E72" s="51">
        <x:v>13987</x:v>
      </x:c>
      <x:c r="F72" s="51" t="s">
        <x:v>40</x:v>
      </x:c>
    </x:row>
    <x:row r="73" spans="1:28">
      <x:c r="B73" s="15" t="e">
        <x:f>IF(ISBLANK(INDIRECT(ADDRESS(ROW(),3))),"",ROW() - 6 + 'Доходы и расходы за 1 квартал'!$Z$2)</x:f>
        <x:v>#NAME?</x:v>
      </x:c>
      <x:c r="C73" s="50" t="s">
        <x:v>332</x:v>
      </x:c>
      <x:c r="D73" s="45" t="s">
        <x:v>52</x:v>
      </x:c>
      <x:c r="E73" s="51" t="s">
        <x:v>40</x:v>
      </x:c>
      <x:c r="F73" s="51">
        <x:v>200567</x:v>
      </x:c>
    </x:row>
    <x:row r="74" spans="1:28">
      <x:c r="B74" s="15" t="e">
        <x:f>IF(ISBLANK(INDIRECT(ADDRESS(ROW(),3))),"",ROW() - 6 + 'Доходы и расходы за 1 квартал'!$Z$2)</x:f>
        <x:v>#NAME?</x:v>
      </x:c>
      <x:c r="C74" s="50" t="s">
        <x:v>332</x:v>
      </x:c>
      <x:c r="D74" s="45" t="s">
        <x:v>52</x:v>
      </x:c>
      <x:c r="E74" s="51" t="s">
        <x:v>40</x:v>
      </x:c>
      <x:c r="F74" s="51">
        <x:v>58956</x:v>
      </x:c>
    </x:row>
    <x:row r="75" spans="1:28">
      <x:c r="B75" s="15" t="e">
        <x:f>IF(ISBLANK(INDIRECT(ADDRESS(ROW(),3))),"",ROW() - 6 + 'Доходы и расходы за 1 квартал'!$Z$2)</x:f>
        <x:v>#NAME?</x:v>
      </x:c>
      <x:c r="C75" s="50" t="s">
        <x:v>332</x:v>
      </x:c>
      <x:c r="D75" s="45" t="s">
        <x:v>52</x:v>
      </x:c>
      <x:c r="E75" s="51" t="s">
        <x:v>40</x:v>
      </x:c>
      <x:c r="F75" s="51">
        <x:v>55819</x:v>
      </x:c>
    </x:row>
    <x:row r="76" spans="1:28">
      <x:c r="B76" s="15" t="e">
        <x:f>IF(ISBLANK(INDIRECT(ADDRESS(ROW(),3))),"",ROW() - 6 + 'Доходы и расходы за 1 квартал'!$Z$2)</x:f>
        <x:v>#NAME?</x:v>
      </x:c>
      <x:c r="C76" s="50" t="s">
        <x:v>332</x:v>
      </x:c>
      <x:c r="D76" s="45" t="s">
        <x:v>52</x:v>
      </x:c>
      <x:c r="E76" s="51" t="s">
        <x:v>40</x:v>
      </x:c>
      <x:c r="F76" s="51">
        <x:v>41683</x:v>
      </x:c>
    </x:row>
    <x:row r="77" spans="1:28">
      <x:c r="B77" s="15" t="e">
        <x:f>IF(ISBLANK(INDIRECT(ADDRESS(ROW(),3))),"",ROW() - 6 + 'Доходы и расходы за 1 квартал'!$Z$2)</x:f>
        <x:v>#NAME?</x:v>
      </x:c>
      <x:c r="C77" s="50" t="s">
        <x:v>333</x:v>
      </x:c>
      <x:c r="D77" s="45" t="s">
        <x:v>52</x:v>
      </x:c>
      <x:c r="E77" s="51" t="s">
        <x:v>40</x:v>
      </x:c>
      <x:c r="F77" s="51">
        <x:v>12259</x:v>
      </x:c>
    </x:row>
    <x:row r="78" spans="1:28">
      <x:c r="B78" s="15" t="e">
        <x:f>IF(ISBLANK(INDIRECT(ADDRESS(ROW(),3))),"",ROW() - 6 + 'Доходы и расходы за 1 квартал'!$Z$2)</x:f>
        <x:v>#NAME?</x:v>
      </x:c>
      <x:c r="C78" s="50" t="s">
        <x:v>332</x:v>
      </x:c>
      <x:c r="D78" s="45" t="s">
        <x:v>281</x:v>
      </x:c>
      <x:c r="E78" s="51" t="s">
        <x:v>40</x:v>
      </x:c>
      <x:c r="F78" s="51">
        <x:v>596324</x:v>
      </x:c>
    </x:row>
    <x:row r="79" spans="1:28">
      <x:c r="B79" s="15" t="e">
        <x:f>IF(ISBLANK(INDIRECT(ADDRESS(ROW(),3))),"",ROW() - 6 + 'Доходы и расходы за 1 квартал'!$Z$2)</x:f>
        <x:v>#NAME?</x:v>
      </x:c>
      <x:c r="C79" s="50" t="s">
        <x:v>332</x:v>
      </x:c>
      <x:c r="D79" s="45" t="s">
        <x:v>281</x:v>
      </x:c>
      <x:c r="E79" s="51" t="s">
        <x:v>40</x:v>
      </x:c>
      <x:c r="F79" s="51">
        <x:v>1111639</x:v>
      </x:c>
    </x:row>
    <x:row r="80" spans="1:28">
      <x:c r="B80" s="15" t="e">
        <x:f>IF(ISBLANK(INDIRECT(ADDRESS(ROW(),3))),"",ROW() - 6 + 'Доходы и расходы за 1 квартал'!$Z$2)</x:f>
        <x:v>#NAME?</x:v>
      </x:c>
      <x:c r="C80" s="50" t="s">
        <x:v>332</x:v>
      </x:c>
      <x:c r="D80" s="45" t="s">
        <x:v>52</x:v>
      </x:c>
      <x:c r="E80" s="51" t="s">
        <x:v>40</x:v>
      </x:c>
      <x:c r="F80" s="51">
        <x:v>34912.26</x:v>
      </x:c>
    </x:row>
    <x:row r="81" spans="1:28">
      <x:c r="B81" s="15" t="e">
        <x:f>IF(ISBLANK(INDIRECT(ADDRESS(ROW(),3))),"",ROW() - 6 + 'Доходы и расходы за 1 квартал'!$Z$2)</x:f>
        <x:v>#NAME?</x:v>
      </x:c>
      <x:c r="C81" s="50" t="s">
        <x:v>334</x:v>
      </x:c>
      <x:c r="D81" s="45" t="s">
        <x:v>335</x:v>
      </x:c>
      <x:c r="E81" s="51" t="s">
        <x:v>40</x:v>
      </x:c>
      <x:c r="F81" s="51">
        <x:v>26600</x:v>
      </x:c>
    </x:row>
    <x:row r="82" spans="1:28">
      <x:c r="B82" s="15" t="e">
        <x:f>IF(ISBLANK(INDIRECT(ADDRESS(ROW(),3))),"",ROW() - 6 + 'Доходы и расходы за 1 квартал'!$Z$2)</x:f>
        <x:v>#NAME?</x:v>
      </x:c>
      <x:c r="C82" s="50" t="s">
        <x:v>336</x:v>
      </x:c>
      <x:c r="D82" s="45" t="s">
        <x:v>337</x:v>
      </x:c>
      <x:c r="E82" s="51" t="s">
        <x:v>40</x:v>
      </x:c>
      <x:c r="F82" s="51">
        <x:v>19340</x:v>
      </x:c>
    </x:row>
    <x:row r="83" spans="1:28">
      <x:c r="B83" s="15" t="e">
        <x:f>IF(ISBLANK(INDIRECT(ADDRESS(ROW(),3))),"",ROW() - 6 + 'Доходы и расходы за 1 квартал'!$Z$2)</x:f>
        <x:v>#NAME?</x:v>
      </x:c>
      <x:c r="C83" s="50" t="s">
        <x:v>338</x:v>
      </x:c>
      <x:c r="D83" s="45" t="s">
        <x:v>339</x:v>
      </x:c>
      <x:c r="E83" s="51" t="s">
        <x:v>40</x:v>
      </x:c>
      <x:c r="F83" s="51">
        <x:v>33450</x:v>
      </x:c>
    </x:row>
    <x:row r="84" spans="1:28">
      <x:c r="B84" s="15" t="e">
        <x:f>IF(ISBLANK(INDIRECT(ADDRESS(ROW(),3))),"",ROW() - 6 + 'Доходы и расходы за 1 квартал'!$Z$2)</x:f>
        <x:v>#NAME?</x:v>
      </x:c>
      <x:c r="C84" s="50" t="s">
        <x:v>340</x:v>
      </x:c>
      <x:c r="D84" s="45" t="s">
        <x:v>341</x:v>
      </x:c>
      <x:c r="E84" s="51" t="s">
        <x:v>40</x:v>
      </x:c>
      <x:c r="F84" s="51">
        <x:v>1875</x:v>
      </x:c>
    </x:row>
    <x:row r="85" spans="1:28">
      <x:c r="B85" s="15" t="e">
        <x:f>IF(ISBLANK(INDIRECT(ADDRESS(ROW(),3))),"",ROW() - 6 + 'Доходы и расходы за 1 квартал'!$Z$2)</x:f>
        <x:v>#NAME?</x:v>
      </x:c>
      <x:c r="C85" s="50" t="s">
        <x:v>342</x:v>
      </x:c>
      <x:c r="D85" s="45" t="s">
        <x:v>343</x:v>
      </x:c>
      <x:c r="E85" s="51" t="s">
        <x:v>40</x:v>
      </x:c>
      <x:c r="F85" s="51">
        <x:v>49448.11</x:v>
      </x:c>
    </x:row>
    <x:row r="86" spans="1:28">
      <x:c r="B86" s="15" t="e">
        <x:f>IF(ISBLANK(INDIRECT(ADDRESS(ROW(),3))),"",ROW() - 6 + 'Доходы и расходы за 1 квартал'!$Z$2)</x:f>
        <x:v>#NAME?</x:v>
      </x:c>
      <x:c r="C86" s="50" t="s">
        <x:v>344</x:v>
      </x:c>
      <x:c r="D86" s="45" t="s">
        <x:v>345</x:v>
      </x:c>
      <x:c r="E86" s="51" t="s">
        <x:v>40</x:v>
      </x:c>
      <x:c r="F86" s="51">
        <x:v>27660</x:v>
      </x:c>
    </x:row>
    <x:row r="87" spans="1:28">
      <x:c r="B87" s="15" t="e">
        <x:f>IF(ISBLANK(INDIRECT(ADDRESS(ROW(),3))),"",ROW() - 6 + 'Доходы и расходы за 1 квартал'!$Z$2)</x:f>
        <x:v>#NAME?</x:v>
      </x:c>
      <x:c r="C87" s="50" t="s">
        <x:v>346</x:v>
      </x:c>
      <x:c r="D87" s="45" t="s">
        <x:v>266</x:v>
      </x:c>
      <x:c r="E87" s="51" t="s">
        <x:v>40</x:v>
      </x:c>
      <x:c r="F87" s="51">
        <x:v>75000</x:v>
      </x:c>
    </x:row>
    <x:row r="88" spans="1:28">
      <x:c r="B88" s="15" t="e">
        <x:f>IF(ISBLANK(INDIRECT(ADDRESS(ROW(),3))),"",ROW() - 6 + 'Доходы и расходы за 1 квартал'!$Z$2)</x:f>
        <x:v>#NAME?</x:v>
      </x:c>
      <x:c r="C88" s="50" t="s">
        <x:v>347</x:v>
      </x:c>
      <x:c r="D88" s="45" t="s">
        <x:v>348</x:v>
      </x:c>
      <x:c r="E88" s="51" t="s">
        <x:v>40</x:v>
      </x:c>
      <x:c r="F88" s="51">
        <x:v>25424.12</x:v>
      </x:c>
    </x:row>
    <x:row r="89" spans="1:28">
      <x:c r="B89" s="15" t="e">
        <x:f>IF(ISBLANK(INDIRECT(ADDRESS(ROW(),3))),"",ROW() - 6 + 'Доходы и расходы за 1 квартал'!$Z$2)</x:f>
        <x:v>#NAME?</x:v>
      </x:c>
      <x:c r="C89" s="50" t="s">
        <x:v>349</x:v>
      </x:c>
      <x:c r="D89" s="45" t="s">
        <x:v>350</x:v>
      </x:c>
      <x:c r="E89" s="51" t="s">
        <x:v>40</x:v>
      </x:c>
      <x:c r="F89" s="51">
        <x:v>3280.76</x:v>
      </x:c>
    </x:row>
    <x:row r="90" spans="1:28">
      <x:c r="B90" s="15" t="e">
        <x:f>IF(ISBLANK(INDIRECT(ADDRESS(ROW(),3))),"",ROW() - 6 + 'Доходы и расходы за 1 квартал'!$Z$2)</x:f>
        <x:v>#NAME?</x:v>
      </x:c>
      <x:c r="C90" s="50" t="s">
        <x:v>351</x:v>
      </x:c>
      <x:c r="D90" s="45" t="s">
        <x:v>352</x:v>
      </x:c>
      <x:c r="E90" s="51">
        <x:v>75000</x:v>
      </x:c>
      <x:c r="F90" s="51" t="s">
        <x:v>40</x:v>
      </x:c>
    </x:row>
    <x:row r="91" spans="1:28">
      <x:c r="B91" s="15" t="e">
        <x:f>IF(ISBLANK(INDIRECT(ADDRESS(ROW(),3))),"",ROW() - 6 + 'Доходы и расходы за 1 квартал'!$Z$2)</x:f>
        <x:v>#NAME?</x:v>
      </x:c>
      <x:c r="C91" s="50" t="s">
        <x:v>353</x:v>
      </x:c>
      <x:c r="D91" s="45" t="s">
        <x:v>93</x:v>
      </x:c>
      <x:c r="E91" s="51" t="s">
        <x:v>40</x:v>
      </x:c>
      <x:c r="F91" s="51">
        <x:v>3087</x:v>
      </x:c>
    </x:row>
    <x:row r="92" spans="1:28">
      <x:c r="B92" s="15" t="e">
        <x:f>IF(ISBLANK(INDIRECT(ADDRESS(ROW(),3))),"",ROW() - 6 + 'Доходы и расходы за 1 квартал'!$Z$2)</x:f>
        <x:v>#NAME?</x:v>
      </x:c>
      <x:c r="C92" s="50" t="s">
        <x:v>354</x:v>
      </x:c>
      <x:c r="D92" s="45" t="s">
        <x:v>355</x:v>
      </x:c>
      <x:c r="E92" s="51" t="s">
        <x:v>40</x:v>
      </x:c>
      <x:c r="F92" s="51">
        <x:v>1049</x:v>
      </x:c>
    </x:row>
    <x:row r="93" spans="1:28">
      <x:c r="B93" s="15" t="e">
        <x:f>IF(ISBLANK(INDIRECT(ADDRESS(ROW(),3))),"",ROW() - 6 + 'Доходы и расходы за 1 квартал'!$Z$2)</x:f>
        <x:v>#NAME?</x:v>
      </x:c>
      <x:c r="C93" s="50" t="s">
        <x:v>356</x:v>
      </x:c>
      <x:c r="D93" s="45" t="s">
        <x:v>357</x:v>
      </x:c>
      <x:c r="E93" s="51" t="s">
        <x:v>40</x:v>
      </x:c>
      <x:c r="F93" s="51">
        <x:v>176.02</x:v>
      </x:c>
    </x:row>
    <x:row r="94" spans="1:28">
      <x:c r="B94" s="15" t="e">
        <x:f>IF(ISBLANK(INDIRECT(ADDRESS(ROW(),3))),"",ROW() - 6 + 'Доходы и расходы за 1 квартал'!$Z$2)</x:f>
        <x:v>#NAME?</x:v>
      </x:c>
      <x:c r="C94" s="50" t="s">
        <x:v>358</x:v>
      </x:c>
      <x:c r="D94" s="45" t="s">
        <x:v>359</x:v>
      </x:c>
      <x:c r="E94" s="51" t="s">
        <x:v>40</x:v>
      </x:c>
      <x:c r="F94" s="51">
        <x:v>95</x:v>
      </x:c>
    </x:row>
    <x:row r="95" spans="1:28">
      <x:c r="B95" s="15" t="e">
        <x:f>IF(ISBLANK(INDIRECT(ADDRESS(ROW(),3))),"",ROW() - 6 + 'Доходы и расходы за 1 квартал'!$Z$2)</x:f>
        <x:v>#NAME?</x:v>
      </x:c>
      <x:c r="C95" s="50" t="s">
        <x:v>360</x:v>
      </x:c>
      <x:c r="D95" s="45" t="s">
        <x:v>359</x:v>
      </x:c>
      <x:c r="E95" s="51" t="s">
        <x:v>40</x:v>
      </x:c>
      <x:c r="F95" s="51">
        <x:v>200</x:v>
      </x:c>
    </x:row>
    <x:row r="96" spans="1:28">
      <x:c r="B96" s="15" t="e">
        <x:f>IF(ISBLANK(INDIRECT(ADDRESS(ROW(),3))),"",ROW() - 6 + 'Доходы и расходы за 1 квартал'!$Z$2)</x:f>
        <x:v>#NAME?</x:v>
      </x:c>
      <x:c r="C96" s="50" t="s">
        <x:v>361</x:v>
      </x:c>
      <x:c r="D96" s="45" t="s">
        <x:v>362</x:v>
      </x:c>
      <x:c r="E96" s="51" t="s">
        <x:v>40</x:v>
      </x:c>
      <x:c r="F96" s="51">
        <x:v>8700</x:v>
      </x:c>
    </x:row>
    <x:row r="97" spans="1:28">
      <x:c r="B97" s="15" t="e">
        <x:f>IF(ISBLANK(INDIRECT(ADDRESS(ROW(),3))),"",ROW() - 6 + 'Доходы и расходы за 1 квартал'!$Z$2)</x:f>
        <x:v>#NAME?</x:v>
      </x:c>
      <x:c r="C97" s="50" t="s">
        <x:v>363</x:v>
      </x:c>
      <x:c r="D97" s="45" t="s">
        <x:v>364</x:v>
      </x:c>
      <x:c r="E97" s="51" t="s">
        <x:v>40</x:v>
      </x:c>
      <x:c r="F97" s="51">
        <x:v>11962</x:v>
      </x:c>
    </x:row>
    <x:row r="98" spans="1:28">
      <x:c r="B98" s="15" t="e">
        <x:f>IF(ISBLANK(INDIRECT(ADDRESS(ROW(),3))),"",ROW() - 6 + 'Доходы и расходы за 1 квартал'!$Z$2)</x:f>
        <x:v>#NAME?</x:v>
      </x:c>
      <x:c r="C98" s="50" t="s">
        <x:v>365</x:v>
      </x:c>
      <x:c r="D98" s="45" t="s">
        <x:v>366</x:v>
      </x:c>
      <x:c r="E98" s="51" t="s">
        <x:v>40</x:v>
      </x:c>
      <x:c r="F98" s="51">
        <x:v>46416</x:v>
      </x:c>
    </x:row>
    <x:row r="99" spans="1:28">
      <x:c r="B99" s="15" t="e">
        <x:f>IF(ISBLANK(INDIRECT(ADDRESS(ROW(),3))),"",ROW() - 6 + 'Доходы и расходы за 1 квартал'!$Z$2)</x:f>
        <x:v>#NAME?</x:v>
      </x:c>
      <x:c r="C99" s="50" t="s">
        <x:v>367</x:v>
      </x:c>
      <x:c r="D99" s="45" t="s">
        <x:v>368</x:v>
      </x:c>
      <x:c r="E99" s="51" t="s">
        <x:v>40</x:v>
      </x:c>
      <x:c r="F99" s="51">
        <x:v>2002</x:v>
      </x:c>
    </x:row>
    <x:row r="100" spans="1:28">
      <x:c r="B100" s="15" t="e">
        <x:f>IF(ISBLANK(INDIRECT(ADDRESS(ROW(),3))),"",ROW() - 6 + 'Доходы и расходы за 1 квартал'!$Z$2)</x:f>
        <x:v>#NAME?</x:v>
      </x:c>
      <x:c r="C100" s="50" t="s">
        <x:v>369</x:v>
      </x:c>
      <x:c r="D100" s="45" t="s">
        <x:v>370</x:v>
      </x:c>
      <x:c r="E100" s="51" t="s">
        <x:v>40</x:v>
      </x:c>
      <x:c r="F100" s="51">
        <x:v>27345</x:v>
      </x:c>
    </x:row>
    <x:row r="101" spans="1:28">
      <x:c r="B101" s="15" t="e">
        <x:f>IF(ISBLANK(INDIRECT(ADDRESS(ROW(),3))),"",ROW() - 6 + 'Доходы и расходы за 1 квартал'!$Z$2)</x:f>
        <x:v>#NAME?</x:v>
      </x:c>
      <x:c r="C101" s="50" t="s">
        <x:v>371</x:v>
      </x:c>
      <x:c r="D101" s="45" t="s">
        <x:v>372</x:v>
      </x:c>
      <x:c r="E101" s="51" t="s">
        <x:v>40</x:v>
      </x:c>
      <x:c r="F101" s="51">
        <x:v>53191</x:v>
      </x:c>
    </x:row>
    <x:row r="102" spans="1:28">
      <x:c r="B102" s="15" t="e">
        <x:f>IF(ISBLANK(INDIRECT(ADDRESS(ROW(),3))),"",ROW() - 6 + 'Доходы и расходы за 1 квартал'!$Z$2)</x:f>
        <x:v>#NAME?</x:v>
      </x:c>
      <x:c r="C102" s="50" t="s">
        <x:v>373</x:v>
      </x:c>
      <x:c r="D102" s="45" t="s">
        <x:v>374</x:v>
      </x:c>
      <x:c r="E102" s="51" t="s">
        <x:v>40</x:v>
      </x:c>
      <x:c r="F102" s="51">
        <x:v>26600</x:v>
      </x:c>
    </x:row>
    <x:row r="103" spans="1:28">
      <x:c r="B103" s="15" t="e">
        <x:f>IF(ISBLANK(INDIRECT(ADDRESS(ROW(),3))),"",ROW() - 6 + 'Доходы и расходы за 1 квартал'!$Z$2)</x:f>
        <x:v>#NAME?</x:v>
      </x:c>
      <x:c r="C103" s="50" t="s">
        <x:v>375</x:v>
      </x:c>
      <x:c r="D103" s="45" t="s">
        <x:v>376</x:v>
      </x:c>
      <x:c r="E103" s="51" t="s">
        <x:v>40</x:v>
      </x:c>
      <x:c r="F103" s="51">
        <x:v>67.41</x:v>
      </x:c>
    </x:row>
    <x:row r="104" spans="1:28">
      <x:c r="B104" s="15" t="e">
        <x:f>IF(ISBLANK(INDIRECT(ADDRESS(ROW(),3))),"",ROW() - 6 + 'Доходы и расходы за 1 квартал'!$Z$2)</x:f>
        <x:v>#NAME?</x:v>
      </x:c>
      <x:c r="C104" s="50" t="s">
        <x:v>377</x:v>
      </x:c>
      <x:c r="D104" s="45" t="s">
        <x:v>378</x:v>
      </x:c>
      <x:c r="E104" s="51" t="s">
        <x:v>40</x:v>
      </x:c>
      <x:c r="F104" s="51">
        <x:v>199</x:v>
      </x:c>
    </x:row>
    <x:row r="105" spans="1:28">
      <x:c r="B105" s="15" t="e">
        <x:f>IF(ISBLANK(INDIRECT(ADDRESS(ROW(),3))),"",ROW() - 6 + 'Доходы и расходы за 1 квартал'!$Z$2)</x:f>
        <x:v>#NAME?</x:v>
      </x:c>
      <x:c r="C105" s="50" t="s">
        <x:v>379</x:v>
      </x:c>
      <x:c r="D105" s="45" t="s">
        <x:v>380</x:v>
      </x:c>
      <x:c r="E105" s="51" t="s">
        <x:v>40</x:v>
      </x:c>
      <x:c r="F105" s="51">
        <x:v>250000</x:v>
      </x:c>
    </x:row>
    <x:row r="106" spans="1:28">
      <x:c r="B106" s="15" t="e">
        <x:f>IF(ISBLANK(INDIRECT(ADDRESS(ROW(),3))),"",ROW() - 6 + 'Доходы и расходы за 1 квартал'!$Z$2)</x:f>
        <x:v>#NAME?</x:v>
      </x:c>
      <x:c r="C106" s="50" t="s">
        <x:v>381</x:v>
      </x:c>
      <x:c r="D106" s="45" t="s">
        <x:v>382</x:v>
      </x:c>
      <x:c r="E106" s="51" t="s">
        <x:v>40</x:v>
      </x:c>
      <x:c r="F106" s="51">
        <x:v>1890</x:v>
      </x:c>
    </x:row>
    <x:row r="107" spans="1:28">
      <x:c r="B107" s="15" t="e">
        <x:f>IF(ISBLANK(INDIRECT(ADDRESS(ROW(),3))),"",ROW() - 6 + 'Доходы и расходы за 1 квартал'!$Z$2)</x:f>
        <x:v>#NAME?</x:v>
      </x:c>
      <x:c r="C107" s="50" t="s">
        <x:v>383</x:v>
      </x:c>
      <x:c r="D107" s="45" t="s">
        <x:v>384</x:v>
      </x:c>
      <x:c r="E107" s="51" t="s">
        <x:v>40</x:v>
      </x:c>
      <x:c r="F107" s="51">
        <x:v>17426</x:v>
      </x:c>
    </x:row>
    <x:row r="108" spans="1:28">
      <x:c r="B108" s="15" t="e">
        <x:f>IF(ISBLANK(INDIRECT(ADDRESS(ROW(),3))),"",ROW() - 6 + 'Доходы и расходы за 1 квартал'!$Z$2)</x:f>
        <x:v>#NAME?</x:v>
      </x:c>
      <x:c r="C108" s="50" t="s">
        <x:v>385</x:v>
      </x:c>
      <x:c r="D108" s="45" t="s">
        <x:v>386</x:v>
      </x:c>
      <x:c r="E108" s="51" t="s">
        <x:v>40</x:v>
      </x:c>
      <x:c r="F108" s="51">
        <x:v>5000</x:v>
      </x:c>
    </x:row>
    <x:row r="109" spans="1:28">
      <x:c r="B109" s="15" t="e">
        <x:f>IF(ISBLANK(INDIRECT(ADDRESS(ROW(),3))),"",ROW() - 6 + 'Доходы и расходы за 1 квартал'!$Z$2)</x:f>
        <x:v>#NAME?</x:v>
      </x:c>
      <x:c r="C109" s="50" t="s">
        <x:v>387</x:v>
      </x:c>
      <x:c r="D109" s="45" t="s">
        <x:v>52</x:v>
      </x:c>
      <x:c r="E109" s="51" t="s">
        <x:v>40</x:v>
      </x:c>
      <x:c r="F109" s="51">
        <x:v>29507</x:v>
      </x:c>
    </x:row>
    <x:row r="110" spans="1:28">
      <x:c r="B110" s="15" t="e">
        <x:f>IF(ISBLANK(INDIRECT(ADDRESS(ROW(),3))),"",ROW() - 6 + 'Доходы и расходы за 1 квартал'!$Z$2)</x:f>
        <x:v>#NAME?</x:v>
      </x:c>
      <x:c r="C110" s="50" t="s">
        <x:v>388</x:v>
      </x:c>
      <x:c r="D110" s="45" t="s">
        <x:v>389</x:v>
      </x:c>
      <x:c r="E110" s="51" t="s">
        <x:v>40</x:v>
      </x:c>
      <x:c r="F110" s="51">
        <x:v>990</x:v>
      </x:c>
    </x:row>
    <x:row r="111" spans="1:28">
      <x:c r="B111" s="15" t="e">
        <x:f>IF(ISBLANK(INDIRECT(ADDRESS(ROW(),3))),"",ROW() - 6 + 'Доходы и расходы за 1 квартал'!$Z$2)</x:f>
        <x:v>#NAME?</x:v>
      </x:c>
      <x:c r="C111" s="50" t="s">
        <x:v>390</x:v>
      </x:c>
      <x:c r="D111" s="45" t="s">
        <x:v>391</x:v>
      </x:c>
      <x:c r="E111" s="51" t="s">
        <x:v>40</x:v>
      </x:c>
      <x:c r="F111" s="51">
        <x:v>449</x:v>
      </x:c>
    </x:row>
    <x:row r="112" spans="1:28">
      <x:c r="B112" s="15" t="e">
        <x:f>IF(ISBLANK(INDIRECT(ADDRESS(ROW(),3))),"",ROW() - 6 + 'Доходы и расходы за 1 квартал'!$Z$2)</x:f>
        <x:v>#NAME?</x:v>
      </x:c>
      <x:c r="C112" s="50" t="s">
        <x:v>392</x:v>
      </x:c>
      <x:c r="D112" s="45" t="s">
        <x:v>91</x:v>
      </x:c>
      <x:c r="E112" s="51" t="s">
        <x:v>40</x:v>
      </x:c>
      <x:c r="F112" s="51">
        <x:v>14250</x:v>
      </x:c>
    </x:row>
    <x:row r="113" spans="1:28">
      <x:c r="B113" s="15" t="e">
        <x:f>IF(ISBLANK(INDIRECT(ADDRESS(ROW(),3))),"",ROW() - 6 + 'Доходы и расходы за 1 квартал'!$Z$2)</x:f>
        <x:v>#NAME?</x:v>
      </x:c>
      <x:c r="C113" s="50" t="s">
        <x:v>393</x:v>
      </x:c>
      <x:c r="D113" s="45" t="s">
        <x:v>93</x:v>
      </x:c>
      <x:c r="E113" s="51" t="s">
        <x:v>40</x:v>
      </x:c>
      <x:c r="F113" s="51">
        <x:v>3088</x:v>
      </x:c>
    </x:row>
    <x:row r="114" spans="1:28">
      <x:c r="B114" s="15" t="e">
        <x:f>IF(ISBLANK(INDIRECT(ADDRESS(ROW(),3))),"",ROW() - 6 + 'Доходы и расходы за 1 квартал'!$Z$2)</x:f>
        <x:v>#NAME?</x:v>
      </x:c>
      <x:c r="C114" s="50" t="s">
        <x:v>394</x:v>
      </x:c>
      <x:c r="D114" s="45" t="s">
        <x:v>395</x:v>
      </x:c>
      <x:c r="E114" s="51" t="s">
        <x:v>40</x:v>
      </x:c>
      <x:c r="F114" s="51">
        <x:v>8700</x:v>
      </x:c>
    </x:row>
    <x:row r="115" spans="1:28">
      <x:c r="B115" s="15" t="e">
        <x:f>IF(ISBLANK(INDIRECT(ADDRESS(ROW(),3))),"",ROW() - 6 + 'Доходы и расходы за 1 квартал'!$Z$2)</x:f>
        <x:v>#NAME?</x:v>
      </x:c>
      <x:c r="C115" s="50" t="s">
        <x:v>396</x:v>
      </x:c>
      <x:c r="D115" s="45" t="s">
        <x:v>397</x:v>
      </x:c>
      <x:c r="E115" s="51" t="s">
        <x:v>40</x:v>
      </x:c>
      <x:c r="F115" s="51">
        <x:v>11963</x:v>
      </x:c>
    </x:row>
    <x:row r="116" spans="1:28">
      <x:c r="B116" s="15" t="e">
        <x:f>IF(ISBLANK(INDIRECT(ADDRESS(ROW(),3))),"",ROW() - 6 + 'Доходы и расходы за 1 квартал'!$Z$2)</x:f>
        <x:v>#NAME?</x:v>
      </x:c>
      <x:c r="C116" s="50" t="s">
        <x:v>398</x:v>
      </x:c>
      <x:c r="D116" s="45" t="s">
        <x:v>399</x:v>
      </x:c>
      <x:c r="E116" s="51" t="s">
        <x:v>40</x:v>
      </x:c>
      <x:c r="F116" s="51">
        <x:v>21600</x:v>
      </x:c>
    </x:row>
    <x:row r="117" spans="1:28">
      <x:c r="B117" s="15" t="e">
        <x:f>IF(ISBLANK(INDIRECT(ADDRESS(ROW(),3))),"",ROW() - 6 + 'Доходы и расходы за 1 квартал'!$Z$2)</x:f>
        <x:v>#NAME?</x:v>
      </x:c>
      <x:c r="C117" s="50" t="s">
        <x:v>400</x:v>
      </x:c>
      <x:c r="D117" s="45" t="s">
        <x:v>380</x:v>
      </x:c>
      <x:c r="E117" s="51" t="s">
        <x:v>40</x:v>
      </x:c>
      <x:c r="F117" s="51">
        <x:v>250000</x:v>
      </x:c>
    </x:row>
    <x:row r="118" spans="1:28">
      <x:c r="B118" s="15" t="e">
        <x:f>IF(ISBLANK(INDIRECT(ADDRESS(ROW(),3))),"",ROW() - 6 + 'Доходы и расходы за 1 квартал'!$Z$2)</x:f>
        <x:v>#NAME?</x:v>
      </x:c>
      <x:c r="C118" s="50" t="s">
        <x:v>401</x:v>
      </x:c>
      <x:c r="D118" s="45" t="s">
        <x:v>402</x:v>
      </x:c>
      <x:c r="E118" s="51" t="s">
        <x:v>40</x:v>
      </x:c>
      <x:c r="F118" s="51">
        <x:v>19140</x:v>
      </x:c>
    </x:row>
    <x:row r="119" spans="1:28">
      <x:c r="B119" s="15" t="e">
        <x:f>IF(ISBLANK(INDIRECT(ADDRESS(ROW(),3))),"",ROW() - 6 + 'Доходы и расходы за 1 квартал'!$Z$2)</x:f>
        <x:v>#NAME?</x:v>
      </x:c>
      <x:c r="C119" s="50" t="s">
        <x:v>403</x:v>
      </x:c>
      <x:c r="D119" s="45" t="s">
        <x:v>51</x:v>
      </x:c>
      <x:c r="E119" s="51">
        <x:v>1483407</x:v>
      </x:c>
      <x:c r="F119" s="51" t="s">
        <x:v>40</x:v>
      </x:c>
    </x:row>
    <x:row r="120" spans="1:28">
      <x:c r="B120" s="15" t="e">
        <x:f>IF(ISBLANK(INDIRECT(ADDRESS(ROW(),3))),"",ROW() - 6 + 'Доходы и расходы за 1 квартал'!$Z$2)</x:f>
        <x:v>#NAME?</x:v>
      </x:c>
      <x:c r="C120" s="50" t="s">
        <x:v>404</x:v>
      </x:c>
      <x:c r="D120" s="45" t="s">
        <x:v>51</x:v>
      </x:c>
      <x:c r="E120" s="51">
        <x:v>20684</x:v>
      </x:c>
      <x:c r="F120" s="51" t="s">
        <x:v>40</x:v>
      </x:c>
    </x:row>
    <x:row r="121" spans="1:28">
      <x:c r="B121" s="15" t="e">
        <x:f>IF(ISBLANK(INDIRECT(ADDRESS(ROW(),3))),"",ROW() - 6 + 'Доходы и расходы за 1 квартал'!$Z$2)</x:f>
        <x:v>#NAME?</x:v>
      </x:c>
      <x:c r="C121" s="50" t="s">
        <x:v>404</x:v>
      </x:c>
      <x:c r="D121" s="45" t="s">
        <x:v>51</x:v>
      </x:c>
      <x:c r="E121" s="51">
        <x:v>10633</x:v>
      </x:c>
      <x:c r="F121" s="51" t="s">
        <x:v>40</x:v>
      </x:c>
    </x:row>
    <x:row r="122" spans="1:28">
      <x:c r="B122" s="15" t="e">
        <x:f>IF(ISBLANK(INDIRECT(ADDRESS(ROW(),3))),"",ROW() - 6 + 'Доходы и расходы за 1 квартал'!$Z$2)</x:f>
        <x:v>#NAME?</x:v>
      </x:c>
      <x:c r="C122" s="50" t="s">
        <x:v>404</x:v>
      </x:c>
      <x:c r="D122" s="45" t="s">
        <x:v>51</x:v>
      </x:c>
      <x:c r="E122" s="51">
        <x:v>4002</x:v>
      </x:c>
      <x:c r="F122" s="51" t="s">
        <x:v>40</x:v>
      </x:c>
    </x:row>
    <x:row r="123" spans="1:28">
      <x:c r="B123" s="15" t="e">
        <x:f>IF(ISBLANK(INDIRECT(ADDRESS(ROW(),3))),"",ROW() - 6 + 'Доходы и расходы за 1 квартал'!$Z$2)</x:f>
        <x:v>#NAME?</x:v>
      </x:c>
      <x:c r="C123" s="50" t="s">
        <x:v>403</x:v>
      </x:c>
      <x:c r="D123" s="45" t="s">
        <x:v>52</x:v>
      </x:c>
      <x:c r="E123" s="51" t="s">
        <x:v>40</x:v>
      </x:c>
      <x:c r="F123" s="51">
        <x:v>173298</x:v>
      </x:c>
    </x:row>
    <x:row r="124" spans="1:28">
      <x:c r="B124" s="15" t="e">
        <x:f>IF(ISBLANK(INDIRECT(ADDRESS(ROW(),3))),"",ROW() - 6 + 'Доходы и расходы за 1 квартал'!$Z$2)</x:f>
        <x:v>#NAME?</x:v>
      </x:c>
      <x:c r="C124" s="50" t="s">
        <x:v>404</x:v>
      </x:c>
      <x:c r="D124" s="45" t="s">
        <x:v>52</x:v>
      </x:c>
      <x:c r="E124" s="51" t="s">
        <x:v>40</x:v>
      </x:c>
      <x:c r="F124" s="51">
        <x:v>61422</x:v>
      </x:c>
    </x:row>
    <x:row r="125" spans="1:28">
      <x:c r="B125" s="15" t="e">
        <x:f>IF(ISBLANK(INDIRECT(ADDRESS(ROW(),3))),"",ROW() - 6 + 'Доходы и расходы за 1 квартал'!$Z$2)</x:f>
        <x:v>#NAME?</x:v>
      </x:c>
      <x:c r="C125" s="50" t="s">
        <x:v>404</x:v>
      </x:c>
      <x:c r="D125" s="45" t="s">
        <x:v>52</x:v>
      </x:c>
      <x:c r="E125" s="51" t="s">
        <x:v>40</x:v>
      </x:c>
      <x:c r="F125" s="51">
        <x:v>41197</x:v>
      </x:c>
    </x:row>
    <x:row r="126" spans="1:28">
      <x:c r="B126" s="15" t="e">
        <x:f>IF(ISBLANK(INDIRECT(ADDRESS(ROW(),3))),"",ROW() - 6 + 'Доходы и расходы за 1 квартал'!$Z$2)</x:f>
        <x:v>#NAME?</x:v>
      </x:c>
      <x:c r="C126" s="50" t="s">
        <x:v>404</x:v>
      </x:c>
      <x:c r="D126" s="45" t="s">
        <x:v>52</x:v>
      </x:c>
      <x:c r="E126" s="51" t="s">
        <x:v>40</x:v>
      </x:c>
      <x:c r="F126" s="51">
        <x:v>10772</x:v>
      </x:c>
    </x:row>
    <x:row r="127" spans="1:28">
      <x:c r="B127" s="15" t="e">
        <x:f>IF(ISBLANK(INDIRECT(ADDRESS(ROW(),3))),"",ROW() - 6 + 'Доходы и расходы за 1 квартал'!$Z$2)</x:f>
        <x:v>#NAME?</x:v>
      </x:c>
      <x:c r="C127" s="50" t="s">
        <x:v>404</x:v>
      </x:c>
      <x:c r="D127" s="45" t="s">
        <x:v>51</x:v>
      </x:c>
      <x:c r="E127" s="51">
        <x:v>2635300.91</x:v>
      </x:c>
      <x:c r="F127" s="51" t="s">
        <x:v>40</x:v>
      </x:c>
    </x:row>
    <x:row r="128" spans="1:28">
      <x:c r="B128" s="15" t="e">
        <x:f>IF(ISBLANK(INDIRECT(ADDRESS(ROW(),3))),"",ROW() - 6 + 'Доходы и расходы за 1 квартал'!$Z$2)</x:f>
        <x:v>#NAME?</x:v>
      </x:c>
      <x:c r="C128" s="50" t="s">
        <x:v>404</x:v>
      </x:c>
      <x:c r="D128" s="45" t="s">
        <x:v>51</x:v>
      </x:c>
      <x:c r="E128" s="51">
        <x:v>2193545.93</x:v>
      </x:c>
      <x:c r="F128" s="51" t="s">
        <x:v>40</x:v>
      </x:c>
    </x:row>
    <x:row r="129" spans="1:28">
      <x:c r="B129" s="15" t="e">
        <x:f>IF(ISBLANK(INDIRECT(ADDRESS(ROW(),3))),"",ROW() - 6 + 'Доходы и расходы за 1 квартал'!$Z$2)</x:f>
        <x:v>#NAME?</x:v>
      </x:c>
      <x:c r="C129" s="50" t="s">
        <x:v>404</x:v>
      </x:c>
      <x:c r="D129" s="45" t="s">
        <x:v>281</x:v>
      </x:c>
      <x:c r="E129" s="51" t="s">
        <x:v>40</x:v>
      </x:c>
      <x:c r="F129" s="51">
        <x:v>526347</x:v>
      </x:c>
    </x:row>
    <x:row r="130" spans="1:28">
      <x:c r="B130" s="15" t="e">
        <x:f>IF(ISBLANK(INDIRECT(ADDRESS(ROW(),3))),"",ROW() - 6 + 'Доходы и расходы за 1 квартал'!$Z$2)</x:f>
        <x:v>#NAME?</x:v>
      </x:c>
      <x:c r="C130" s="50" t="s">
        <x:v>404</x:v>
      </x:c>
      <x:c r="D130" s="45" t="s">
        <x:v>281</x:v>
      </x:c>
      <x:c r="E130" s="51" t="s">
        <x:v>40</x:v>
      </x:c>
      <x:c r="F130" s="51">
        <x:v>1384494</x:v>
      </x:c>
    </x:row>
    <x:row r="131" spans="1:28">
      <x:c r="B131" s="17" t="s">
        <x:v>405</x:v>
      </x:c>
      <x:c r="C131" s="17"/>
      <x:c r="D131" s="17"/>
      <x:c r="E131" s="48" t="e">
        <x:f>$AA$1</x:f>
        <x:v>#NAME?</x:v>
      </x:c>
      <x:c r="F131" s="46" t="e">
        <x:f>$AB$1</x:f>
        <x:v>#NAME?</x:v>
      </x:c>
    </x:row>
    <x:row r="132" spans="1:28">
      <x:c r="B132" s="52" t="s">
        <x:v>406</x:v>
      </x:c>
      <x:c r="C132" s="52"/>
      <x:c r="D132" s="52"/>
      <x:c r="E132" s="48" t="e">
        <x:f>$AA$2</x:f>
        <x:v>#NAME?</x:v>
      </x:c>
      <x:c r="F132" s="46" t="e">
        <x:f>$AB$2</x:f>
        <x:v>#NAME?</x:v>
      </x:c>
    </x:row>
  </x:sheetData>
  <x:mergeCells count="5">
    <x:mergeCell ref="B2:F2"/>
    <x:mergeCell ref="B4:D4"/>
    <x:mergeCell ref="E4:F4"/>
    <x:mergeCell ref="B131:D131"/>
    <x:mergeCell ref="B132:D132"/>
  </x:mergeCells>
  <x:conditionalFormatting sqref="F131:F132">
    <x:cfRule type="expression" dxfId="0" priority="1" operator="equal">
      <x:formula>$Y$1="1"</x:formula>
    </x:cfRule>
  </x:conditionalFormatting>
  <x:printOptions horizontalCentered="0" verticalCentered="0" headings="0" gridLines="0"/>
  <x:pageMargins left="0.7" right="0.7" top="0.75" bottom="0.75" header="0.511811023622047" footer="0.511811023622047"/>
  <x:pageSetup paperSize="9" fitToHeight="0" pageOrder="downThenOver" orientation="portrait" blackAndWhite="0" draft="0" cellComments="none" errors="displayed"/>
  <x:headerFooter differentOddEven="0" differentFirst="1" scaleWithDoc="1" alignWithMargins="1">
    <x:oddHeader/>
    <x:oddFooter>&amp;R&amp;P</x:oddFooter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AB229"/>
  <x:sheetViews>
    <x:sheetView workbookViewId="0"/>
  </x:sheetViews>
  <x:sheetFormatPr defaultRowHeight="15"/>
  <x:cols>
    <x:col min="1" max="1" width="3.425781" style="0" customWidth="1"/>
    <x:col min="2" max="2" width="8.710938" style="0" customWidth="1"/>
    <x:col min="3" max="3" width="15.425781" style="0" customWidth="1"/>
    <x:col min="4" max="4" width="42" style="0" customWidth="1"/>
    <x:col min="5" max="6" width="16.710938" style="0" customWidth="1"/>
    <x:col min="7" max="28" width="8.567768" style="0" customWidth="1"/>
  </x:cols>
  <x:sheetData>
    <x:row r="1" spans="1:28">
      <x:c r="B1" s="30"/>
      <x:c r="C1" s="30"/>
      <x:c r="D1" s="30"/>
      <x:c r="E1" s="30"/>
      <x:c r="F1" s="30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7" t="str">
        <x:f>'Доходы и расходы за 4 квартал'!$Y$1</x:f>
        <x:v>0</x:v>
      </x:c>
      <x:c r="Z1" s="37" t="e">
        <x:f>MAX(INDIRECT("B7:B"&amp;ROWS(B:B)))</x:f>
        <x:v>#NAME?</x:v>
      </x:c>
      <x:c r="AA1" s="37" t="e">
        <x:f>SUM(INDIRECT("E7:"&amp;ADDRESS(MATCH("Итого за III квартал", $B:$B, 0) - 1, 5)))</x:f>
        <x:v>#NAME?</x:v>
      </x:c>
      <x:c r="AB1" s="37" t="e">
        <x:f>SUM(INDIRECT("F7:"&amp;ADDRESS(MATCH("Итого за III квартал", $B:$B, 0) - 1, 6)))</x:f>
        <x:v>#NAME?</x:v>
      </x:c>
    </x:row>
    <x:row r="2" spans="1:28">
      <x:c r="B2" s="38" t="s">
        <x:v>30</x:v>
      </x:c>
      <x:c r="C2" s="38"/>
      <x:c r="D2" s="38"/>
      <x:c r="E2" s="38"/>
      <x:c r="F2" s="38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  <x:c r="V2" s="36"/>
      <x:c r="W2" s="36"/>
      <x:c r="X2" s="36"/>
      <x:c r="Y2" s="36"/>
      <x:c r="Z2" s="37" t="e">
        <x:f>IF($Z$1=0,'Доходы и расходы за 2 квартал'!$Z$2,$Z$1)</x:f>
        <x:v>#NAME?</x:v>
      </x:c>
      <x:c r="AA2" s="37" t="e">
        <x:f>$AA$1 + 'Доходы и расходы за 2 квартал'!$AA$2</x:f>
        <x:v>#NAME?</x:v>
      </x:c>
      <x:c r="AB2" s="37" t="e">
        <x:f>$AB$1 + 'Доходы и расходы за 2 квартал'!$AB$2</x:f>
        <x:v>#NAME?</x:v>
      </x:c>
    </x:row>
    <x:row r="3" spans="1:28">
      <x:c r="B3" s="49"/>
      <x:c r="C3" s="49"/>
      <x:c r="D3" s="49"/>
      <x:c r="E3" s="49"/>
      <x:c r="F3" s="49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  <x:c r="AA3" s="36"/>
      <x:c r="AB3" s="36"/>
    </x:row>
    <x:row r="4" spans="1:28">
      <x:c r="B4" s="40" t="s">
        <x:v>31</x:v>
      </x:c>
      <x:c r="C4" s="40"/>
      <x:c r="D4" s="40"/>
      <x:c r="E4" s="9" t="s">
        <x:v>32</x:v>
      </x:c>
      <x:c r="F4" s="9"/>
      <x:c r="G4" s="36"/>
      <x:c r="H4" s="36"/>
      <x:c r="I4" s="36"/>
      <x:c r="J4" s="36"/>
      <x:c r="K4" s="36"/>
      <x:c r="L4" s="36"/>
      <x:c r="M4" s="36"/>
      <x:c r="N4" s="36"/>
      <x:c r="O4" s="36"/>
      <x:c r="P4" s="36"/>
      <x:c r="Q4" s="36"/>
      <x:c r="R4" s="36"/>
      <x:c r="S4" s="36"/>
      <x:c r="T4" s="36"/>
      <x:c r="U4" s="36"/>
      <x:c r="V4" s="36"/>
      <x:c r="W4" s="36"/>
      <x:c r="X4" s="36"/>
      <x:c r="Y4" s="36"/>
      <x:c r="Z4" s="36"/>
      <x:c r="AA4" s="36"/>
      <x:c r="AB4" s="36"/>
    </x:row>
    <x:row r="5" spans="1:28" ht="68.25" customHeight="1">
      <x:c r="B5" s="41" t="s">
        <x:v>33</x:v>
      </x:c>
      <x:c r="C5" s="41" t="s">
        <x:v>34</x:v>
      </x:c>
      <x:c r="D5" s="42" t="s">
        <x:v>35</x:v>
      </x:c>
      <x:c r="E5" s="41" t="s">
        <x:v>36</x:v>
      </x:c>
      <x:c r="F5" s="43" t="s">
        <x:v>37</x:v>
      </x:c>
      <x:c r="G5" s="36"/>
      <x:c r="H5" s="36"/>
      <x:c r="I5" s="36"/>
      <x:c r="J5" s="36"/>
      <x:c r="K5" s="36"/>
      <x:c r="L5" s="36"/>
      <x:c r="M5" s="36"/>
      <x:c r="N5" s="36"/>
      <x:c r="O5" s="36"/>
      <x:c r="P5" s="36"/>
      <x:c r="Q5" s="36"/>
      <x:c r="R5" s="36"/>
      <x:c r="S5" s="36"/>
      <x:c r="T5" s="36"/>
      <x:c r="U5" s="36"/>
      <x:c r="V5" s="36"/>
      <x:c r="W5" s="36"/>
      <x:c r="X5" s="36"/>
      <x:c r="Y5" s="36"/>
      <x:c r="Z5" s="36"/>
      <x:c r="AA5" s="36"/>
      <x:c r="AB5" s="36"/>
    </x:row>
    <x:row r="6" spans="1:28">
      <x:c r="B6" s="40">
        <x:v>1</x:v>
      </x:c>
      <x:c r="C6" s="40">
        <x:v>2</x:v>
      </x:c>
      <x:c r="D6" s="40">
        <x:v>3</x:v>
      </x:c>
      <x:c r="E6" s="40">
        <x:v>4</x:v>
      </x:c>
      <x:c r="F6" s="9">
        <x:v>5</x:v>
      </x:c>
      <x:c r="G6" s="36"/>
      <x:c r="H6" s="36"/>
      <x:c r="I6" s="36"/>
      <x:c r="J6" s="36"/>
      <x:c r="K6" s="36"/>
      <x:c r="L6" s="36"/>
      <x:c r="M6" s="36"/>
      <x:c r="N6" s="36"/>
      <x:c r="O6" s="36"/>
      <x:c r="P6" s="36"/>
      <x:c r="Q6" s="36"/>
      <x:c r="R6" s="36"/>
      <x:c r="S6" s="36"/>
      <x:c r="T6" s="36"/>
      <x:c r="U6" s="36"/>
      <x:c r="V6" s="36"/>
      <x:c r="W6" s="36"/>
      <x:c r="X6" s="36"/>
      <x:c r="Y6" s="36"/>
      <x:c r="Z6" s="36"/>
      <x:c r="AA6" s="36"/>
      <x:c r="AB6" s="36"/>
    </x:row>
    <x:row r="7" spans="1:28">
      <x:c r="B7" s="15" t="e">
        <x:f>IF(ISBLANK(INDIRECT(ADDRESS(ROW(),3))),"",ROW() - 6 + 'Доходы и расходы за 2 квартал'!$Z$2)</x:f>
        <x:v>#NAME?</x:v>
      </x:c>
      <x:c r="C7" s="44" t="s">
        <x:v>407</x:v>
      </x:c>
      <x:c r="D7" s="45" t="s">
        <x:v>408</x:v>
      </x:c>
      <x:c r="E7" s="46" t="s">
        <x:v>40</x:v>
      </x:c>
      <x:c r="F7" s="46">
        <x:v>16720.04</x:v>
      </x:c>
    </x:row>
    <x:row r="8" spans="1:28">
      <x:c r="B8" s="15" t="e">
        <x:f>IF(ISBLANK(INDIRECT(ADDRESS(ROW(),3))),"",ROW() - 6 + 'Доходы и расходы за 2 квартал'!$Z$2)</x:f>
        <x:v>#NAME?</x:v>
      </x:c>
      <x:c r="C8" s="44" t="s">
        <x:v>409</x:v>
      </x:c>
      <x:c r="D8" s="45" t="s">
        <x:v>410</x:v>
      </x:c>
      <x:c r="E8" s="46" t="s">
        <x:v>40</x:v>
      </x:c>
      <x:c r="F8" s="46">
        <x:v>44680</x:v>
      </x:c>
    </x:row>
    <x:row r="9" spans="1:28">
      <x:c r="B9" s="15" t="e">
        <x:f>IF(ISBLANK(INDIRECT(ADDRESS(ROW(),3))),"",ROW() - 6 + 'Доходы и расходы за 2 квартал'!$Z$2)</x:f>
        <x:v>#NAME?</x:v>
      </x:c>
      <x:c r="C9" s="44" t="s">
        <x:v>411</x:v>
      </x:c>
      <x:c r="D9" s="45" t="s">
        <x:v>412</x:v>
      </x:c>
      <x:c r="E9" s="46" t="s">
        <x:v>40</x:v>
      </x:c>
      <x:c r="F9" s="46">
        <x:v>42548</x:v>
      </x:c>
    </x:row>
    <x:row r="10" spans="1:28">
      <x:c r="B10" s="15" t="e">
        <x:f>IF(ISBLANK(INDIRECT(ADDRESS(ROW(),3))),"",ROW() - 6 + 'Доходы и расходы за 2 квартал'!$Z$2)</x:f>
        <x:v>#NAME?</x:v>
      </x:c>
      <x:c r="C10" s="44" t="s">
        <x:v>413</x:v>
      </x:c>
      <x:c r="D10" s="45" t="s">
        <x:v>414</x:v>
      </x:c>
      <x:c r="E10" s="46">
        <x:v>190331.59</x:v>
      </x:c>
      <x:c r="F10" s="46" t="s">
        <x:v>40</x:v>
      </x:c>
    </x:row>
    <x:row r="11" spans="1:28">
      <x:c r="B11" s="15" t="e">
        <x:f>IF(ISBLANK(INDIRECT(ADDRESS(ROW(),3))),"",ROW() - 6 + 'Доходы и расходы за 2 квартал'!$Z$2)</x:f>
        <x:v>#NAME?</x:v>
      </x:c>
      <x:c r="C11" s="44" t="s">
        <x:v>415</x:v>
      </x:c>
      <x:c r="D11" s="45" t="s">
        <x:v>416</x:v>
      </x:c>
      <x:c r="E11" s="46" t="s">
        <x:v>40</x:v>
      </x:c>
      <x:c r="F11" s="46">
        <x:v>31920</x:v>
      </x:c>
    </x:row>
    <x:row r="12" spans="1:28">
      <x:c r="B12" s="15" t="e">
        <x:f>IF(ISBLANK(INDIRECT(ADDRESS(ROW(),3))),"",ROW() - 6 + 'Доходы и расходы за 2 квартал'!$Z$2)</x:f>
        <x:v>#NAME?</x:v>
      </x:c>
      <x:c r="C12" s="44" t="s">
        <x:v>417</x:v>
      </x:c>
      <x:c r="D12" s="45" t="s">
        <x:v>418</x:v>
      </x:c>
      <x:c r="E12" s="46" t="s">
        <x:v>40</x:v>
      </x:c>
      <x:c r="F12" s="46">
        <x:v>5595.81</x:v>
      </x:c>
    </x:row>
    <x:row r="13" spans="1:28">
      <x:c r="B13" s="15" t="e">
        <x:f>IF(ISBLANK(INDIRECT(ADDRESS(ROW(),3))),"",ROW() - 6 + 'Доходы и расходы за 2 квартал'!$Z$2)</x:f>
        <x:v>#NAME?</x:v>
      </x:c>
      <x:c r="C13" s="44" t="s">
        <x:v>419</x:v>
      </x:c>
      <x:c r="D13" s="45" t="s">
        <x:v>420</x:v>
      </x:c>
      <x:c r="E13" s="46" t="s">
        <x:v>40</x:v>
      </x:c>
      <x:c r="F13" s="46">
        <x:v>1055.26</x:v>
      </x:c>
    </x:row>
    <x:row r="14" spans="1:28">
      <x:c r="B14" s="15" t="e">
        <x:f>IF(ISBLANK(INDIRECT(ADDRESS(ROW(),3))),"",ROW() - 6 + 'Доходы и расходы за 2 квартал'!$Z$2)</x:f>
        <x:v>#NAME?</x:v>
      </x:c>
      <x:c r="C14" s="44" t="s">
        <x:v>421</x:v>
      </x:c>
      <x:c r="D14" s="45" t="s">
        <x:v>422</x:v>
      </x:c>
      <x:c r="E14" s="46" t="s">
        <x:v>40</x:v>
      </x:c>
      <x:c r="F14" s="46">
        <x:v>49448.11</x:v>
      </x:c>
    </x:row>
    <x:row r="15" spans="1:28">
      <x:c r="B15" s="15" t="e">
        <x:f>IF(ISBLANK(INDIRECT(ADDRESS(ROW(),3))),"",ROW() - 6 + 'Доходы и расходы за 2 квартал'!$Z$2)</x:f>
        <x:v>#NAME?</x:v>
      </x:c>
      <x:c r="C15" s="44" t="s">
        <x:v>423</x:v>
      </x:c>
      <x:c r="D15" s="45" t="s">
        <x:v>424</x:v>
      </x:c>
      <x:c r="E15" s="46" t="s">
        <x:v>40</x:v>
      </x:c>
      <x:c r="F15" s="46">
        <x:v>2994.38</x:v>
      </x:c>
    </x:row>
    <x:row r="16" spans="1:28">
      <x:c r="B16" s="15" t="e">
        <x:f>IF(ISBLANK(INDIRECT(ADDRESS(ROW(),3))),"",ROW() - 6 + 'Доходы и расходы за 2 квартал'!$Z$2)</x:f>
        <x:v>#NAME?</x:v>
      </x:c>
      <x:c r="C16" s="44" t="s">
        <x:v>425</x:v>
      </x:c>
      <x:c r="D16" s="45" t="s">
        <x:v>426</x:v>
      </x:c>
      <x:c r="E16" s="46" t="s">
        <x:v>40</x:v>
      </x:c>
      <x:c r="F16" s="46">
        <x:v>12860.67</x:v>
      </x:c>
    </x:row>
    <x:row r="17" spans="1:28">
      <x:c r="B17" s="15" t="e">
        <x:f>IF(ISBLANK(INDIRECT(ADDRESS(ROW(),3))),"",ROW() - 6 + 'Доходы и расходы за 2 квартал'!$Z$2)</x:f>
        <x:v>#NAME?</x:v>
      </x:c>
      <x:c r="C17" s="44" t="s">
        <x:v>427</x:v>
      </x:c>
      <x:c r="D17" s="45" t="s">
        <x:v>428</x:v>
      </x:c>
      <x:c r="E17" s="46">
        <x:v>455051.97</x:v>
      </x:c>
      <x:c r="F17" s="46" t="s">
        <x:v>40</x:v>
      </x:c>
    </x:row>
    <x:row r="18" spans="1:28">
      <x:c r="B18" s="15" t="e">
        <x:f>IF(ISBLANK(INDIRECT(ADDRESS(ROW(),3))),"",ROW() - 6 + 'Доходы и расходы за 2 квартал'!$Z$2)</x:f>
        <x:v>#NAME?</x:v>
      </x:c>
      <x:c r="C18" s="44" t="s">
        <x:v>429</x:v>
      </x:c>
      <x:c r="D18" s="45" t="s">
        <x:v>93</x:v>
      </x:c>
      <x:c r="E18" s="46" t="s">
        <x:v>40</x:v>
      </x:c>
      <x:c r="F18" s="46">
        <x:v>3087</x:v>
      </x:c>
    </x:row>
    <x:row r="19" spans="1:28">
      <x:c r="B19" s="15" t="e">
        <x:f>IF(ISBLANK(INDIRECT(ADDRESS(ROW(),3))),"",ROW() - 6 + 'Доходы и расходы за 2 квартал'!$Z$2)</x:f>
        <x:v>#NAME?</x:v>
      </x:c>
      <x:c r="C19" s="44" t="s">
        <x:v>430</x:v>
      </x:c>
      <x:c r="D19" s="45" t="s">
        <x:v>431</x:v>
      </x:c>
      <x:c r="E19" s="46" t="s">
        <x:v>40</x:v>
      </x:c>
      <x:c r="F19" s="46">
        <x:v>10000</x:v>
      </x:c>
    </x:row>
    <x:row r="20" spans="1:28">
      <x:c r="B20" s="15" t="e">
        <x:f>IF(ISBLANK(INDIRECT(ADDRESS(ROW(),3))),"",ROW() - 6 + 'Доходы и расходы за 2 квартал'!$Z$2)</x:f>
        <x:v>#NAME?</x:v>
      </x:c>
      <x:c r="C20" s="44" t="s">
        <x:v>432</x:v>
      </x:c>
      <x:c r="D20" s="45" t="s">
        <x:v>433</x:v>
      </x:c>
      <x:c r="E20" s="46">
        <x:v>8615.32</x:v>
      </x:c>
      <x:c r="F20" s="46" t="s">
        <x:v>40</x:v>
      </x:c>
    </x:row>
    <x:row r="21" spans="1:28">
      <x:c r="B21" s="15" t="e">
        <x:f>IF(ISBLANK(INDIRECT(ADDRESS(ROW(),3))),"",ROW() - 6 + 'Доходы и расходы за 2 квартал'!$Z$2)</x:f>
        <x:v>#NAME?</x:v>
      </x:c>
      <x:c r="C21" s="44" t="s">
        <x:v>434</x:v>
      </x:c>
      <x:c r="D21" s="45" t="s">
        <x:v>435</x:v>
      </x:c>
      <x:c r="E21" s="46" t="s">
        <x:v>40</x:v>
      </x:c>
      <x:c r="F21" s="46">
        <x:v>1234.44</x:v>
      </x:c>
    </x:row>
    <x:row r="22" spans="1:28">
      <x:c r="B22" s="15" t="e">
        <x:f>IF(ISBLANK(INDIRECT(ADDRESS(ROW(),3))),"",ROW() - 6 + 'Доходы и расходы за 2 квартал'!$Z$2)</x:f>
        <x:v>#NAME?</x:v>
      </x:c>
      <x:c r="C22" s="44" t="s">
        <x:v>436</x:v>
      </x:c>
      <x:c r="D22" s="45" t="s">
        <x:v>437</x:v>
      </x:c>
      <x:c r="E22" s="46">
        <x:v>260444.71</x:v>
      </x:c>
      <x:c r="F22" s="46" t="s">
        <x:v>40</x:v>
      </x:c>
    </x:row>
    <x:row r="23" spans="1:28">
      <x:c r="B23" s="15" t="e">
        <x:f>IF(ISBLANK(INDIRECT(ADDRESS(ROW(),3))),"",ROW() - 6 + 'Доходы и расходы за 2 квартал'!$Z$2)</x:f>
        <x:v>#NAME?</x:v>
      </x:c>
      <x:c r="C23" s="44" t="s">
        <x:v>438</x:v>
      </x:c>
      <x:c r="D23" s="45" t="s">
        <x:v>439</x:v>
      </x:c>
      <x:c r="E23" s="46" t="s">
        <x:v>40</x:v>
      </x:c>
      <x:c r="F23" s="46">
        <x:v>19369.66</x:v>
      </x:c>
    </x:row>
    <x:row r="24" spans="1:28">
      <x:c r="B24" s="15" t="e">
        <x:f>IF(ISBLANK(INDIRECT(ADDRESS(ROW(),3))),"",ROW() - 6 + 'Доходы и расходы за 2 квартал'!$Z$2)</x:f>
        <x:v>#NAME?</x:v>
      </x:c>
      <x:c r="C24" s="44" t="s">
        <x:v>440</x:v>
      </x:c>
      <x:c r="D24" s="45" t="s">
        <x:v>441</x:v>
      </x:c>
      <x:c r="E24" s="46" t="s">
        <x:v>40</x:v>
      </x:c>
      <x:c r="F24" s="46">
        <x:v>10000</x:v>
      </x:c>
    </x:row>
    <x:row r="25" spans="1:28">
      <x:c r="B25" s="15" t="e">
        <x:f>IF(ISBLANK(INDIRECT(ADDRESS(ROW(),3))),"",ROW() - 6 + 'Доходы и расходы за 2 квартал'!$Z$2)</x:f>
        <x:v>#NAME?</x:v>
      </x:c>
      <x:c r="C25" s="44" t="s">
        <x:v>442</x:v>
      </x:c>
      <x:c r="D25" s="45" t="s">
        <x:v>443</x:v>
      </x:c>
      <x:c r="E25" s="46" t="s">
        <x:v>40</x:v>
      </x:c>
      <x:c r="F25" s="46">
        <x:v>2649.31</x:v>
      </x:c>
    </x:row>
    <x:row r="26" spans="1:28">
      <x:c r="B26" s="15" t="e">
        <x:f>IF(ISBLANK(INDIRECT(ADDRESS(ROW(),3))),"",ROW() - 6 + 'Доходы и расходы за 2 квартал'!$Z$2)</x:f>
        <x:v>#NAME?</x:v>
      </x:c>
      <x:c r="C26" s="44" t="s">
        <x:v>444</x:v>
      </x:c>
      <x:c r="D26" s="45" t="s">
        <x:v>445</x:v>
      </x:c>
      <x:c r="E26" s="46" t="s">
        <x:v>40</x:v>
      </x:c>
      <x:c r="F26" s="46">
        <x:v>38186.78</x:v>
      </x:c>
    </x:row>
    <x:row r="27" spans="1:28">
      <x:c r="B27" s="15" t="e">
        <x:f>IF(ISBLANK(INDIRECT(ADDRESS(ROW(),3))),"",ROW() - 6 + 'Доходы и расходы за 2 квартал'!$Z$2)</x:f>
        <x:v>#NAME?</x:v>
      </x:c>
      <x:c r="C27" s="44" t="s">
        <x:v>446</x:v>
      </x:c>
      <x:c r="D27" s="45" t="s">
        <x:v>447</x:v>
      </x:c>
      <x:c r="E27" s="46">
        <x:v>10632.61</x:v>
      </x:c>
      <x:c r="F27" s="46" t="s">
        <x:v>40</x:v>
      </x:c>
    </x:row>
    <x:row r="28" spans="1:28">
      <x:c r="B28" s="15" t="e">
        <x:f>IF(ISBLANK(INDIRECT(ADDRESS(ROW(),3))),"",ROW() - 6 + 'Доходы и расходы за 2 квартал'!$Z$2)</x:f>
        <x:v>#NAME?</x:v>
      </x:c>
      <x:c r="C28" s="44" t="s">
        <x:v>448</x:v>
      </x:c>
      <x:c r="D28" s="45" t="s">
        <x:v>449</x:v>
      </x:c>
      <x:c r="E28" s="46" t="s">
        <x:v>40</x:v>
      </x:c>
      <x:c r="F28" s="46">
        <x:v>20294</x:v>
      </x:c>
    </x:row>
    <x:row r="29" spans="1:28">
      <x:c r="B29" s="15" t="e">
        <x:f>IF(ISBLANK(INDIRECT(ADDRESS(ROW(),3))),"",ROW() - 6 + 'Доходы и расходы за 2 квартал'!$Z$2)</x:f>
        <x:v>#NAME?</x:v>
      </x:c>
      <x:c r="C29" s="44" t="s">
        <x:v>450</x:v>
      </x:c>
      <x:c r="D29" s="45" t="s">
        <x:v>451</x:v>
      </x:c>
      <x:c r="E29" s="46" t="s">
        <x:v>40</x:v>
      </x:c>
      <x:c r="F29" s="46">
        <x:v>1050</x:v>
      </x:c>
    </x:row>
    <x:row r="30" spans="1:28">
      <x:c r="B30" s="15" t="e">
        <x:f>IF(ISBLANK(INDIRECT(ADDRESS(ROW(),3))),"",ROW() - 6 + 'Доходы и расходы за 2 квартал'!$Z$2)</x:f>
        <x:v>#NAME?</x:v>
      </x:c>
      <x:c r="C30" s="44" t="s">
        <x:v>452</x:v>
      </x:c>
      <x:c r="D30" s="45" t="s">
        <x:v>453</x:v>
      </x:c>
      <x:c r="E30" s="46" t="s">
        <x:v>40</x:v>
      </x:c>
      <x:c r="F30" s="46">
        <x:v>15098.11</x:v>
      </x:c>
    </x:row>
    <x:row r="31" spans="1:28">
      <x:c r="B31" s="15" t="e">
        <x:f>IF(ISBLANK(INDIRECT(ADDRESS(ROW(),3))),"",ROW() - 6 + 'Доходы и расходы за 2 квартал'!$Z$2)</x:f>
        <x:v>#NAME?</x:v>
      </x:c>
      <x:c r="C31" s="44" t="s">
        <x:v>454</x:v>
      </x:c>
      <x:c r="D31" s="45" t="s">
        <x:v>431</x:v>
      </x:c>
      <x:c r="E31" s="46" t="s">
        <x:v>40</x:v>
      </x:c>
      <x:c r="F31" s="46">
        <x:v>10000</x:v>
      </x:c>
    </x:row>
    <x:row r="32" spans="1:28">
      <x:c r="B32" s="15" t="e">
        <x:f>IF(ISBLANK(INDIRECT(ADDRESS(ROW(),3))),"",ROW() - 6 + 'Доходы и расходы за 2 квартал'!$Z$2)</x:f>
        <x:v>#NAME?</x:v>
      </x:c>
      <x:c r="C32" s="44" t="s">
        <x:v>455</x:v>
      </x:c>
      <x:c r="D32" s="45" t="s">
        <x:v>456</x:v>
      </x:c>
      <x:c r="E32" s="46" t="s">
        <x:v>40</x:v>
      </x:c>
      <x:c r="F32" s="46">
        <x:v>21280</x:v>
      </x:c>
    </x:row>
    <x:row r="33" spans="1:28">
      <x:c r="B33" s="15" t="e">
        <x:f>IF(ISBLANK(INDIRECT(ADDRESS(ROW(),3))),"",ROW() - 6 + 'Доходы и расходы за 2 квартал'!$Z$2)</x:f>
        <x:v>#NAME?</x:v>
      </x:c>
      <x:c r="C33" s="44" t="s">
        <x:v>457</x:v>
      </x:c>
      <x:c r="D33" s="45" t="s">
        <x:v>458</x:v>
      </x:c>
      <x:c r="E33" s="46" t="s">
        <x:v>40</x:v>
      </x:c>
      <x:c r="F33" s="46">
        <x:v>4079.51</x:v>
      </x:c>
    </x:row>
    <x:row r="34" spans="1:28">
      <x:c r="B34" s="15" t="e">
        <x:f>IF(ISBLANK(INDIRECT(ADDRESS(ROW(),3))),"",ROW() - 6 + 'Доходы и расходы за 2 квартал'!$Z$2)</x:f>
        <x:v>#NAME?</x:v>
      </x:c>
      <x:c r="C34" s="44" t="s">
        <x:v>459</x:v>
      </x:c>
      <x:c r="D34" s="45" t="s">
        <x:v>460</x:v>
      </x:c>
      <x:c r="E34" s="46">
        <x:v>416775.57</x:v>
      </x:c>
      <x:c r="F34" s="46" t="s">
        <x:v>40</x:v>
      </x:c>
    </x:row>
    <x:row r="35" spans="1:28">
      <x:c r="B35" s="15" t="e">
        <x:f>IF(ISBLANK(INDIRECT(ADDRESS(ROW(),3))),"",ROW() - 6 + 'Доходы и расходы за 2 квартал'!$Z$2)</x:f>
        <x:v>#NAME?</x:v>
      </x:c>
      <x:c r="C35" s="44" t="s">
        <x:v>461</x:v>
      </x:c>
      <x:c r="D35" s="45" t="s">
        <x:v>462</x:v>
      </x:c>
      <x:c r="E35" s="46" t="s">
        <x:v>40</x:v>
      </x:c>
      <x:c r="F35" s="46">
        <x:v>8700</x:v>
      </x:c>
    </x:row>
    <x:row r="36" spans="1:28">
      <x:c r="B36" s="15" t="e">
        <x:f>IF(ISBLANK(INDIRECT(ADDRESS(ROW(),3))),"",ROW() - 6 + 'Доходы и расходы за 2 квартал'!$Z$2)</x:f>
        <x:v>#NAME?</x:v>
      </x:c>
      <x:c r="C36" s="44" t="s">
        <x:v>461</x:v>
      </x:c>
      <x:c r="D36" s="45" t="s">
        <x:v>458</x:v>
      </x:c>
      <x:c r="E36" s="46" t="s">
        <x:v>40</x:v>
      </x:c>
      <x:c r="F36" s="46">
        <x:v>4079.51</x:v>
      </x:c>
    </x:row>
    <x:row r="37" spans="1:28">
      <x:c r="B37" s="15" t="e">
        <x:f>IF(ISBLANK(INDIRECT(ADDRESS(ROW(),3))),"",ROW() - 6 + 'Доходы и расходы за 2 квартал'!$Z$2)</x:f>
        <x:v>#NAME?</x:v>
      </x:c>
      <x:c r="C37" s="44" t="s">
        <x:v>463</x:v>
      </x:c>
      <x:c r="D37" s="45" t="s">
        <x:v>464</x:v>
      </x:c>
      <x:c r="E37" s="46" t="s">
        <x:v>40</x:v>
      </x:c>
      <x:c r="F37" s="46">
        <x:v>11962</x:v>
      </x:c>
    </x:row>
    <x:row r="38" spans="1:28">
      <x:c r="B38" s="15" t="e">
        <x:f>IF(ISBLANK(INDIRECT(ADDRESS(ROW(),3))),"",ROW() - 6 + 'Доходы и расходы за 2 квартал'!$Z$2)</x:f>
        <x:v>#NAME?</x:v>
      </x:c>
      <x:c r="C38" s="44" t="s">
        <x:v>465</x:v>
      </x:c>
      <x:c r="D38" s="45" t="s">
        <x:v>466</x:v>
      </x:c>
      <x:c r="E38" s="46">
        <x:v>301001.11</x:v>
      </x:c>
      <x:c r="F38" s="46" t="s">
        <x:v>40</x:v>
      </x:c>
    </x:row>
    <x:row r="39" spans="1:28">
      <x:c r="B39" s="15" t="e">
        <x:f>IF(ISBLANK(INDIRECT(ADDRESS(ROW(),3))),"",ROW() - 6 + 'Доходы и расходы за 2 квартал'!$Z$2)</x:f>
        <x:v>#NAME?</x:v>
      </x:c>
      <x:c r="C39" s="44" t="s">
        <x:v>467</x:v>
      </x:c>
      <x:c r="D39" s="45" t="s">
        <x:v>468</x:v>
      </x:c>
      <x:c r="E39" s="46" t="s">
        <x:v>40</x:v>
      </x:c>
      <x:c r="F39" s="46">
        <x:v>40532.71</x:v>
      </x:c>
    </x:row>
    <x:row r="40" spans="1:28">
      <x:c r="B40" s="15" t="e">
        <x:f>IF(ISBLANK(INDIRECT(ADDRESS(ROW(),3))),"",ROW() - 6 + 'Доходы и расходы за 2 квартал'!$Z$2)</x:f>
        <x:v>#NAME?</x:v>
      </x:c>
      <x:c r="C40" s="44" t="s">
        <x:v>469</x:v>
      </x:c>
      <x:c r="D40" s="45" t="s">
        <x:v>470</x:v>
      </x:c>
      <x:c r="E40" s="46" t="s">
        <x:v>40</x:v>
      </x:c>
      <x:c r="F40" s="46">
        <x:v>4118.72</x:v>
      </x:c>
    </x:row>
    <x:row r="41" spans="1:28">
      <x:c r="B41" s="15" t="e">
        <x:f>IF(ISBLANK(INDIRECT(ADDRESS(ROW(),3))),"",ROW() - 6 + 'Доходы и расходы за 2 квартал'!$Z$2)</x:f>
        <x:v>#NAME?</x:v>
      </x:c>
      <x:c r="C41" s="44" t="s">
        <x:v>471</x:v>
      </x:c>
      <x:c r="D41" s="45" t="s">
        <x:v>472</x:v>
      </x:c>
      <x:c r="E41" s="46" t="s">
        <x:v>40</x:v>
      </x:c>
      <x:c r="F41" s="46">
        <x:v>300000</x:v>
      </x:c>
    </x:row>
    <x:row r="42" spans="1:28">
      <x:c r="B42" s="15" t="e">
        <x:f>IF(ISBLANK(INDIRECT(ADDRESS(ROW(),3))),"",ROW() - 6 + 'Доходы и расходы за 2 квартал'!$Z$2)</x:f>
        <x:v>#NAME?</x:v>
      </x:c>
      <x:c r="C42" s="44" t="s">
        <x:v>473</x:v>
      </x:c>
      <x:c r="D42" s="45" t="s">
        <x:v>474</x:v>
      </x:c>
      <x:c r="E42" s="46" t="s">
        <x:v>40</x:v>
      </x:c>
      <x:c r="F42" s="46">
        <x:v>100000</x:v>
      </x:c>
    </x:row>
    <x:row r="43" spans="1:28">
      <x:c r="B43" s="15" t="e">
        <x:f>IF(ISBLANK(INDIRECT(ADDRESS(ROW(),3))),"",ROW() - 6 + 'Доходы и расходы за 2 квартал'!$Z$2)</x:f>
        <x:v>#NAME?</x:v>
      </x:c>
      <x:c r="C43" s="44" t="s">
        <x:v>475</x:v>
      </x:c>
      <x:c r="D43" s="45" t="s">
        <x:v>476</x:v>
      </x:c>
      <x:c r="E43" s="46" t="s">
        <x:v>40</x:v>
      </x:c>
      <x:c r="F43" s="46">
        <x:v>3655.1</x:v>
      </x:c>
    </x:row>
    <x:row r="44" spans="1:28">
      <x:c r="B44" s="15" t="e">
        <x:f>IF(ISBLANK(INDIRECT(ADDRESS(ROW(),3))),"",ROW() - 6 + 'Доходы и расходы за 2 квартал'!$Z$2)</x:f>
        <x:v>#NAME?</x:v>
      </x:c>
      <x:c r="C44" s="44" t="s">
        <x:v>477</x:v>
      </x:c>
      <x:c r="D44" s="45" t="s">
        <x:v>478</x:v>
      </x:c>
      <x:c r="E44" s="46" t="s">
        <x:v>40</x:v>
      </x:c>
      <x:c r="F44" s="46">
        <x:v>43080</x:v>
      </x:c>
    </x:row>
    <x:row r="45" spans="1:28">
      <x:c r="B45" s="15" t="e">
        <x:f>IF(ISBLANK(INDIRECT(ADDRESS(ROW(),3))),"",ROW() - 6 + 'Доходы и расходы за 2 квартал'!$Z$2)</x:f>
        <x:v>#NAME?</x:v>
      </x:c>
      <x:c r="C45" s="44" t="s">
        <x:v>479</x:v>
      </x:c>
      <x:c r="D45" s="45" t="s">
        <x:v>480</x:v>
      </x:c>
      <x:c r="E45" s="46" t="s">
        <x:v>40</x:v>
      </x:c>
      <x:c r="F45" s="46">
        <x:v>42548</x:v>
      </x:c>
    </x:row>
    <x:row r="46" spans="1:28">
      <x:c r="B46" s="15" t="e">
        <x:f>IF(ISBLANK(INDIRECT(ADDRESS(ROW(),3))),"",ROW() - 6 + 'Доходы и расходы за 2 квартал'!$Z$2)</x:f>
        <x:v>#NAME?</x:v>
      </x:c>
      <x:c r="C46" s="44" t="s">
        <x:v>481</x:v>
      </x:c>
      <x:c r="D46" s="45" t="s">
        <x:v>482</x:v>
      </x:c>
      <x:c r="E46" s="46" t="s">
        <x:v>40</x:v>
      </x:c>
      <x:c r="F46" s="46">
        <x:v>4010.44</x:v>
      </x:c>
    </x:row>
    <x:row r="47" spans="1:28">
      <x:c r="B47" s="15" t="e">
        <x:f>IF(ISBLANK(INDIRECT(ADDRESS(ROW(),3))),"",ROW() - 6 + 'Доходы и расходы за 2 квартал'!$Z$2)</x:f>
        <x:v>#NAME?</x:v>
      </x:c>
      <x:c r="C47" s="44" t="s">
        <x:v>483</x:v>
      </x:c>
      <x:c r="D47" s="45" t="s">
        <x:v>484</x:v>
      </x:c>
      <x:c r="E47" s="46" t="s">
        <x:v>40</x:v>
      </x:c>
      <x:c r="F47" s="46">
        <x:v>127.53</x:v>
      </x:c>
    </x:row>
    <x:row r="48" spans="1:28">
      <x:c r="B48" s="15" t="e">
        <x:f>IF(ISBLANK(INDIRECT(ADDRESS(ROW(),3))),"",ROW() - 6 + 'Доходы и расходы за 2 квартал'!$Z$2)</x:f>
        <x:v>#NAME?</x:v>
      </x:c>
      <x:c r="C48" s="44" t="s">
        <x:v>485</x:v>
      </x:c>
      <x:c r="D48" s="45" t="s">
        <x:v>486</x:v>
      </x:c>
      <x:c r="E48" s="46" t="s">
        <x:v>40</x:v>
      </x:c>
      <x:c r="F48" s="46">
        <x:v>199</x:v>
      </x:c>
    </x:row>
    <x:row r="49" spans="1:28">
      <x:c r="B49" s="15" t="e">
        <x:f>IF(ISBLANK(INDIRECT(ADDRESS(ROW(),3))),"",ROW() - 6 + 'Доходы и расходы за 2 квартал'!$Z$2)</x:f>
        <x:v>#NAME?</x:v>
      </x:c>
      <x:c r="C49" s="44" t="s">
        <x:v>487</x:v>
      </x:c>
      <x:c r="D49" s="45" t="s">
        <x:v>488</x:v>
      </x:c>
      <x:c r="E49" s="46" t="s">
        <x:v>40</x:v>
      </x:c>
      <x:c r="F49" s="46">
        <x:v>829.5</x:v>
      </x:c>
    </x:row>
    <x:row r="50" spans="1:28">
      <x:c r="B50" s="15" t="e">
        <x:f>IF(ISBLANK(INDIRECT(ADDRESS(ROW(),3))),"",ROW() - 6 + 'Доходы и расходы за 2 квартал'!$Z$2)</x:f>
        <x:v>#NAME?</x:v>
      </x:c>
      <x:c r="C50" s="44" t="s">
        <x:v>489</x:v>
      </x:c>
      <x:c r="D50" s="45" t="s">
        <x:v>490</x:v>
      </x:c>
      <x:c r="E50" s="46">
        <x:v>364395.54</x:v>
      </x:c>
      <x:c r="F50" s="46" t="s">
        <x:v>40</x:v>
      </x:c>
    </x:row>
    <x:row r="51" spans="1:28">
      <x:c r="B51" s="15" t="e">
        <x:f>IF(ISBLANK(INDIRECT(ADDRESS(ROW(),3))),"",ROW() - 6 + 'Доходы и расходы за 2 квартал'!$Z$2)</x:f>
        <x:v>#NAME?</x:v>
      </x:c>
      <x:c r="C51" s="44" t="s">
        <x:v>491</x:v>
      </x:c>
      <x:c r="D51" s="45" t="s">
        <x:v>492</x:v>
      </x:c>
      <x:c r="E51" s="46">
        <x:v>1629.56</x:v>
      </x:c>
      <x:c r="F51" s="46" t="s">
        <x:v>40</x:v>
      </x:c>
    </x:row>
    <x:row r="52" spans="1:28">
      <x:c r="B52" s="15" t="e">
        <x:f>IF(ISBLANK(INDIRECT(ADDRESS(ROW(),3))),"",ROW() - 6 + 'Доходы и расходы за 2 квартал'!$Z$2)</x:f>
        <x:v>#NAME?</x:v>
      </x:c>
      <x:c r="C52" s="44" t="s">
        <x:v>493</x:v>
      </x:c>
      <x:c r="D52" s="45" t="s">
        <x:v>494</x:v>
      </x:c>
      <x:c r="E52" s="46" t="s">
        <x:v>40</x:v>
      </x:c>
      <x:c r="F52" s="46">
        <x:v>5864.59</x:v>
      </x:c>
    </x:row>
    <x:row r="53" spans="1:28">
      <x:c r="B53" s="15" t="e">
        <x:f>IF(ISBLANK(INDIRECT(ADDRESS(ROW(),3))),"",ROW() - 6 + 'Доходы и расходы за 2 квартал'!$Z$2)</x:f>
        <x:v>#NAME?</x:v>
      </x:c>
      <x:c r="C53" s="44" t="s">
        <x:v>495</x:v>
      </x:c>
      <x:c r="D53" s="45" t="s">
        <x:v>496</x:v>
      </x:c>
      <x:c r="E53" s="46" t="s">
        <x:v>40</x:v>
      </x:c>
      <x:c r="F53" s="46">
        <x:v>9475</x:v>
      </x:c>
    </x:row>
    <x:row r="54" spans="1:28">
      <x:c r="B54" s="15" t="e">
        <x:f>IF(ISBLANK(INDIRECT(ADDRESS(ROW(),3))),"",ROW() - 6 + 'Доходы и расходы за 2 квартал'!$Z$2)</x:f>
        <x:v>#NAME?</x:v>
      </x:c>
      <x:c r="C54" s="44" t="s">
        <x:v>497</x:v>
      </x:c>
      <x:c r="D54" s="45" t="s">
        <x:v>498</x:v>
      </x:c>
      <x:c r="E54" s="46">
        <x:v>337618.74</x:v>
      </x:c>
      <x:c r="F54" s="46" t="s">
        <x:v>40</x:v>
      </x:c>
    </x:row>
    <x:row r="55" spans="1:28">
      <x:c r="B55" s="15" t="e">
        <x:f>IF(ISBLANK(INDIRECT(ADDRESS(ROW(),3))),"",ROW() - 6 + 'Доходы и расходы за 2 квартал'!$Z$2)</x:f>
        <x:v>#NAME?</x:v>
      </x:c>
      <x:c r="C55" s="44" t="s">
        <x:v>499</x:v>
      </x:c>
      <x:c r="D55" s="45" t="s">
        <x:v>500</x:v>
      </x:c>
      <x:c r="E55" s="46" t="s">
        <x:v>40</x:v>
      </x:c>
      <x:c r="F55" s="46">
        <x:v>10000</x:v>
      </x:c>
    </x:row>
    <x:row r="56" spans="1:28">
      <x:c r="B56" s="15" t="e">
        <x:f>IF(ISBLANK(INDIRECT(ADDRESS(ROW(),3))),"",ROW() - 6 + 'Доходы и расходы за 2 квартал'!$Z$2)</x:f>
        <x:v>#NAME?</x:v>
      </x:c>
      <x:c r="C56" s="44" t="s">
        <x:v>501</x:v>
      </x:c>
      <x:c r="D56" s="45" t="s">
        <x:v>502</x:v>
      </x:c>
      <x:c r="E56" s="46" t="s">
        <x:v>40</x:v>
      </x:c>
      <x:c r="F56" s="46">
        <x:v>50000</x:v>
      </x:c>
    </x:row>
    <x:row r="57" spans="1:28">
      <x:c r="B57" s="15" t="e">
        <x:f>IF(ISBLANK(INDIRECT(ADDRESS(ROW(),3))),"",ROW() - 6 + 'Доходы и расходы за 2 квартал'!$Z$2)</x:f>
        <x:v>#NAME?</x:v>
      </x:c>
      <x:c r="C57" s="44" t="s">
        <x:v>503</x:v>
      </x:c>
      <x:c r="D57" s="45" t="s">
        <x:v>504</x:v>
      </x:c>
      <x:c r="E57" s="46" t="s">
        <x:v>40</x:v>
      </x:c>
      <x:c r="F57" s="46">
        <x:v>2078.27</x:v>
      </x:c>
    </x:row>
    <x:row r="58" spans="1:28">
      <x:c r="B58" s="15" t="e">
        <x:f>IF(ISBLANK(INDIRECT(ADDRESS(ROW(),3))),"",ROW() - 6 + 'Доходы и расходы за 2 квартал'!$Z$2)</x:f>
        <x:v>#NAME?</x:v>
      </x:c>
      <x:c r="C58" s="44" t="s">
        <x:v>505</x:v>
      </x:c>
      <x:c r="D58" s="45" t="s">
        <x:v>506</x:v>
      </x:c>
      <x:c r="E58" s="46">
        <x:v>98499.63</x:v>
      </x:c>
      <x:c r="F58" s="46" t="s">
        <x:v>40</x:v>
      </x:c>
    </x:row>
    <x:row r="59" spans="1:28">
      <x:c r="B59" s="15" t="e">
        <x:f>IF(ISBLANK(INDIRECT(ADDRESS(ROW(),3))),"",ROW() - 6 + 'Доходы и расходы за 2 квартал'!$Z$2)</x:f>
        <x:v>#NAME?</x:v>
      </x:c>
      <x:c r="C59" s="44" t="s">
        <x:v>507</x:v>
      </x:c>
      <x:c r="D59" s="45" t="s">
        <x:v>508</x:v>
      </x:c>
      <x:c r="E59" s="46">
        <x:v>161410.76</x:v>
      </x:c>
      <x:c r="F59" s="46" t="s">
        <x:v>40</x:v>
      </x:c>
    </x:row>
    <x:row r="60" spans="1:28">
      <x:c r="B60" s="15" t="e">
        <x:f>IF(ISBLANK(INDIRECT(ADDRESS(ROW(),3))),"",ROW() - 6 + 'Доходы и расходы за 2 квартал'!$Z$2)</x:f>
        <x:v>#NAME?</x:v>
      </x:c>
      <x:c r="C60" s="44" t="s">
        <x:v>509</x:v>
      </x:c>
      <x:c r="D60" s="45" t="s">
        <x:v>510</x:v>
      </x:c>
      <x:c r="E60" s="46">
        <x:v>209053.92</x:v>
      </x:c>
      <x:c r="F60" s="46" t="s">
        <x:v>40</x:v>
      </x:c>
    </x:row>
    <x:row r="61" spans="1:28">
      <x:c r="B61" s="15" t="e">
        <x:f>IF(ISBLANK(INDIRECT(ADDRESS(ROW(),3))),"",ROW() - 6 + 'Доходы и расходы за 2 квартал'!$Z$2)</x:f>
        <x:v>#NAME?</x:v>
      </x:c>
      <x:c r="C61" s="44" t="s">
        <x:v>511</x:v>
      </x:c>
      <x:c r="D61" s="45" t="s">
        <x:v>512</x:v>
      </x:c>
      <x:c r="E61" s="46">
        <x:v>46630.31</x:v>
      </x:c>
      <x:c r="F61" s="46" t="s">
        <x:v>40</x:v>
      </x:c>
    </x:row>
    <x:row r="62" spans="1:28">
      <x:c r="B62" s="15" t="e">
        <x:f>IF(ISBLANK(INDIRECT(ADDRESS(ROW(),3))),"",ROW() - 6 + 'Доходы и расходы за 2 квартал'!$Z$2)</x:f>
        <x:v>#NAME?</x:v>
      </x:c>
      <x:c r="C62" s="44" t="s">
        <x:v>513</x:v>
      </x:c>
      <x:c r="D62" s="45" t="s">
        <x:v>514</x:v>
      </x:c>
      <x:c r="E62" s="46">
        <x:v>184758</x:v>
      </x:c>
      <x:c r="F62" s="46" t="s">
        <x:v>40</x:v>
      </x:c>
    </x:row>
    <x:row r="63" spans="1:28">
      <x:c r="B63" s="15" t="e">
        <x:f>IF(ISBLANK(INDIRECT(ADDRESS(ROW(),3))),"",ROW() - 6 + 'Доходы и расходы за 2 квартал'!$Z$2)</x:f>
        <x:v>#NAME?</x:v>
      </x:c>
      <x:c r="C63" s="44" t="s">
        <x:v>515</x:v>
      </x:c>
      <x:c r="D63" s="45" t="s">
        <x:v>516</x:v>
      </x:c>
      <x:c r="E63" s="46" t="s">
        <x:v>40</x:v>
      </x:c>
      <x:c r="F63" s="46">
        <x:v>19465.43</x:v>
      </x:c>
    </x:row>
    <x:row r="64" spans="1:28">
      <x:c r="B64" s="15" t="e">
        <x:f>IF(ISBLANK(INDIRECT(ADDRESS(ROW(),3))),"",ROW() - 6 + 'Доходы и расходы за 2 квартал'!$Z$2)</x:f>
        <x:v>#NAME?</x:v>
      </x:c>
      <x:c r="C64" s="44" t="s">
        <x:v>517</x:v>
      </x:c>
      <x:c r="D64" s="45" t="s">
        <x:v>518</x:v>
      </x:c>
      <x:c r="E64" s="46" t="s">
        <x:v>40</x:v>
      </x:c>
      <x:c r="F64" s="46">
        <x:v>22908.28</x:v>
      </x:c>
    </x:row>
    <x:row r="65" spans="1:28">
      <x:c r="B65" s="15" t="e">
        <x:f>IF(ISBLANK(INDIRECT(ADDRESS(ROW(),3))),"",ROW() - 6 + 'Доходы и расходы за 2 квартал'!$Z$2)</x:f>
        <x:v>#NAME?</x:v>
      </x:c>
      <x:c r="C65" s="44" t="s">
        <x:v>519</x:v>
      </x:c>
      <x:c r="D65" s="45" t="s">
        <x:v>520</x:v>
      </x:c>
      <x:c r="E65" s="46" t="s">
        <x:v>40</x:v>
      </x:c>
      <x:c r="F65" s="46">
        <x:v>38358.92</x:v>
      </x:c>
    </x:row>
    <x:row r="66" spans="1:28">
      <x:c r="B66" s="15" t="e">
        <x:f>IF(ISBLANK(INDIRECT(ADDRESS(ROW(),3))),"",ROW() - 6 + 'Доходы и расходы за 2 квартал'!$Z$2)</x:f>
        <x:v>#NAME?</x:v>
      </x:c>
      <x:c r="C66" s="44" t="s">
        <x:v>521</x:v>
      </x:c>
      <x:c r="D66" s="45" t="s">
        <x:v>522</x:v>
      </x:c>
      <x:c r="E66" s="46" t="s">
        <x:v>40</x:v>
      </x:c>
      <x:c r="F66" s="46">
        <x:v>1890</x:v>
      </x:c>
    </x:row>
    <x:row r="67" spans="1:28">
      <x:c r="B67" s="15" t="e">
        <x:f>IF(ISBLANK(INDIRECT(ADDRESS(ROW(),3))),"",ROW() - 6 + 'Доходы и расходы за 2 квартал'!$Z$2)</x:f>
        <x:v>#NAME?</x:v>
      </x:c>
      <x:c r="C67" s="44" t="s">
        <x:v>523</x:v>
      </x:c>
      <x:c r="D67" s="45" t="s">
        <x:v>524</x:v>
      </x:c>
      <x:c r="E67" s="46" t="s">
        <x:v>40</x:v>
      </x:c>
      <x:c r="F67" s="46">
        <x:v>26617</x:v>
      </x:c>
    </x:row>
    <x:row r="68" spans="1:28">
      <x:c r="B68" s="15" t="e">
        <x:f>IF(ISBLANK(INDIRECT(ADDRESS(ROW(),3))),"",ROW() - 6 + 'Доходы и расходы за 2 квартал'!$Z$2)</x:f>
        <x:v>#NAME?</x:v>
      </x:c>
      <x:c r="C68" s="44" t="s">
        <x:v>525</x:v>
      </x:c>
      <x:c r="D68" s="45" t="s">
        <x:v>526</x:v>
      </x:c>
      <x:c r="E68" s="46">
        <x:v>633000</x:v>
      </x:c>
      <x:c r="F68" s="46" t="s">
        <x:v>40</x:v>
      </x:c>
    </x:row>
    <x:row r="69" spans="1:28">
      <x:c r="B69" s="15" t="e">
        <x:f>IF(ISBLANK(INDIRECT(ADDRESS(ROW(),3))),"",ROW() - 6 + 'Доходы и расходы за 2 квартал'!$Z$2)</x:f>
        <x:v>#NAME?</x:v>
      </x:c>
      <x:c r="C69" s="44" t="s">
        <x:v>527</x:v>
      </x:c>
      <x:c r="D69" s="45" t="s">
        <x:v>376</x:v>
      </x:c>
      <x:c r="E69" s="46" t="s">
        <x:v>40</x:v>
      </x:c>
      <x:c r="F69" s="46">
        <x:v>931.6</x:v>
      </x:c>
    </x:row>
    <x:row r="70" spans="1:28">
      <x:c r="B70" s="15" t="e">
        <x:f>IF(ISBLANK(INDIRECT(ADDRESS(ROW(),3))),"",ROW() - 6 + 'Доходы и расходы за 2 квартал'!$Z$2)</x:f>
        <x:v>#NAME?</x:v>
      </x:c>
      <x:c r="C70" s="44" t="s">
        <x:v>528</x:v>
      </x:c>
      <x:c r="D70" s="45" t="s">
        <x:v>52</x:v>
      </x:c>
      <x:c r="E70" s="46" t="s">
        <x:v>40</x:v>
      </x:c>
      <x:c r="F70" s="46">
        <x:v>38780</x:v>
      </x:c>
    </x:row>
    <x:row r="71" spans="1:28">
      <x:c r="B71" s="15" t="e">
        <x:f>IF(ISBLANK(INDIRECT(ADDRESS(ROW(),3))),"",ROW() - 6 + 'Доходы и расходы за 2 квартал'!$Z$2)</x:f>
        <x:v>#NAME?</x:v>
      </x:c>
      <x:c r="C71" s="44" t="s">
        <x:v>528</x:v>
      </x:c>
      <x:c r="D71" s="45" t="s">
        <x:v>52</x:v>
      </x:c>
      <x:c r="E71" s="46" t="s">
        <x:v>40</x:v>
      </x:c>
      <x:c r="F71" s="46">
        <x:v>38322.59</x:v>
      </x:c>
    </x:row>
    <x:row r="72" spans="1:28">
      <x:c r="B72" s="15" t="e">
        <x:f>IF(ISBLANK(INDIRECT(ADDRESS(ROW(),3))),"",ROW() - 6 + 'Доходы и расходы за 2 квартал'!$Z$2)</x:f>
        <x:v>#NAME?</x:v>
      </x:c>
      <x:c r="C72" s="44" t="s">
        <x:v>529</x:v>
      </x:c>
      <x:c r="D72" s="45" t="s">
        <x:v>530</x:v>
      </x:c>
      <x:c r="E72" s="46">
        <x:v>181689.76</x:v>
      </x:c>
      <x:c r="F72" s="46" t="s">
        <x:v>40</x:v>
      </x:c>
    </x:row>
    <x:row r="73" spans="1:28">
      <x:c r="B73" s="15" t="e">
        <x:f>IF(ISBLANK(INDIRECT(ADDRESS(ROW(),3))),"",ROW() - 6 + 'Доходы и расходы за 2 квартал'!$Z$2)</x:f>
        <x:v>#NAME?</x:v>
      </x:c>
      <x:c r="C73" s="44" t="s">
        <x:v>531</x:v>
      </x:c>
      <x:c r="D73" s="45" t="s">
        <x:v>532</x:v>
      </x:c>
      <x:c r="E73" s="46" t="s">
        <x:v>40</x:v>
      </x:c>
      <x:c r="F73" s="46">
        <x:v>3636.63</x:v>
      </x:c>
    </x:row>
    <x:row r="74" spans="1:28">
      <x:c r="B74" s="15" t="e">
        <x:f>IF(ISBLANK(INDIRECT(ADDRESS(ROW(),3))),"",ROW() - 6 + 'Доходы и расходы за 2 квартал'!$Z$2)</x:f>
        <x:v>#NAME?</x:v>
      </x:c>
      <x:c r="C74" s="44" t="s">
        <x:v>533</x:v>
      </x:c>
      <x:c r="D74" s="45" t="s">
        <x:v>502</x:v>
      </x:c>
      <x:c r="E74" s="46" t="s">
        <x:v>40</x:v>
      </x:c>
      <x:c r="F74" s="46">
        <x:v>50000</x:v>
      </x:c>
    </x:row>
    <x:row r="75" spans="1:28">
      <x:c r="B75" s="15" t="e">
        <x:f>IF(ISBLANK(INDIRECT(ADDRESS(ROW(),3))),"",ROW() - 6 + 'Доходы и расходы за 2 квартал'!$Z$2)</x:f>
        <x:v>#NAME?</x:v>
      </x:c>
      <x:c r="C75" s="44" t="s">
        <x:v>534</x:v>
      </x:c>
      <x:c r="D75" s="45" t="s">
        <x:v>535</x:v>
      </x:c>
      <x:c r="E75" s="46" t="s">
        <x:v>40</x:v>
      </x:c>
      <x:c r="F75" s="46">
        <x:v>968</x:v>
      </x:c>
    </x:row>
    <x:row r="76" spans="1:28">
      <x:c r="B76" s="15" t="e">
        <x:f>IF(ISBLANK(INDIRECT(ADDRESS(ROW(),3))),"",ROW() - 6 + 'Доходы и расходы за 2 квартал'!$Z$2)</x:f>
        <x:v>#NAME?</x:v>
      </x:c>
      <x:c r="C76" s="44" t="s">
        <x:v>536</x:v>
      </x:c>
      <x:c r="D76" s="45" t="s">
        <x:v>91</x:v>
      </x:c>
      <x:c r="E76" s="46" t="s">
        <x:v>40</x:v>
      </x:c>
      <x:c r="F76" s="46">
        <x:v>14250</x:v>
      </x:c>
    </x:row>
    <x:row r="77" spans="1:28">
      <x:c r="B77" s="15" t="e">
        <x:f>IF(ISBLANK(INDIRECT(ADDRESS(ROW(),3))),"",ROW() - 6 + 'Доходы и расходы за 2 квартал'!$Z$2)</x:f>
        <x:v>#NAME?</x:v>
      </x:c>
      <x:c r="C77" s="44" t="s">
        <x:v>537</x:v>
      </x:c>
      <x:c r="D77" s="45" t="s">
        <x:v>93</x:v>
      </x:c>
      <x:c r="E77" s="46" t="s">
        <x:v>40</x:v>
      </x:c>
      <x:c r="F77" s="46">
        <x:v>3088</x:v>
      </x:c>
    </x:row>
    <x:row r="78" spans="1:28">
      <x:c r="B78" s="15" t="e">
        <x:f>IF(ISBLANK(INDIRECT(ADDRESS(ROW(),3))),"",ROW() - 6 + 'Доходы и расходы за 2 квартал'!$Z$2)</x:f>
        <x:v>#NAME?</x:v>
      </x:c>
      <x:c r="C78" s="44" t="s">
        <x:v>538</x:v>
      </x:c>
      <x:c r="D78" s="45" t="s">
        <x:v>539</x:v>
      </x:c>
      <x:c r="E78" s="46" t="s">
        <x:v>40</x:v>
      </x:c>
      <x:c r="F78" s="46">
        <x:v>990</x:v>
      </x:c>
    </x:row>
    <x:row r="79" spans="1:28">
      <x:c r="B79" s="15" t="e">
        <x:f>IF(ISBLANK(INDIRECT(ADDRESS(ROW(),3))),"",ROW() - 6 + 'Доходы и расходы за 2 квартал'!$Z$2)</x:f>
        <x:v>#NAME?</x:v>
      </x:c>
      <x:c r="C79" s="44" t="s">
        <x:v>540</x:v>
      </x:c>
      <x:c r="D79" s="45" t="s">
        <x:v>541</x:v>
      </x:c>
      <x:c r="E79" s="46" t="s">
        <x:v>40</x:v>
      </x:c>
      <x:c r="F79" s="46">
        <x:v>449</x:v>
      </x:c>
    </x:row>
    <x:row r="80" spans="1:28">
      <x:c r="B80" s="15" t="e">
        <x:f>IF(ISBLANK(INDIRECT(ADDRESS(ROW(),3))),"",ROW() - 6 + 'Доходы и расходы за 2 квартал'!$Z$2)</x:f>
        <x:v>#NAME?</x:v>
      </x:c>
      <x:c r="C80" s="44" t="s">
        <x:v>542</x:v>
      </x:c>
      <x:c r="D80" s="45" t="s">
        <x:v>543</x:v>
      </x:c>
      <x:c r="E80" s="46" t="s">
        <x:v>40</x:v>
      </x:c>
      <x:c r="F80" s="46">
        <x:v>6984.55</x:v>
      </x:c>
    </x:row>
    <x:row r="81" spans="1:28">
      <x:c r="B81" s="15" t="e">
        <x:f>IF(ISBLANK(INDIRECT(ADDRESS(ROW(),3))),"",ROW() - 6 + 'Доходы и расходы за 2 квартал'!$Z$2)</x:f>
        <x:v>#NAME?</x:v>
      </x:c>
      <x:c r="C81" s="44" t="s">
        <x:v>544</x:v>
      </x:c>
      <x:c r="D81" s="45" t="s">
        <x:v>545</x:v>
      </x:c>
      <x:c r="E81" s="46">
        <x:v>3095.34</x:v>
      </x:c>
      <x:c r="F81" s="46" t="s">
        <x:v>40</x:v>
      </x:c>
    </x:row>
    <x:row r="82" spans="1:28">
      <x:c r="B82" s="15" t="e">
        <x:f>IF(ISBLANK(INDIRECT(ADDRESS(ROW(),3))),"",ROW() - 6 + 'Доходы и расходы за 2 квартал'!$Z$2)</x:f>
        <x:v>#NAME?</x:v>
      </x:c>
      <x:c r="C82" s="44" t="s">
        <x:v>546</x:v>
      </x:c>
      <x:c r="D82" s="45" t="s">
        <x:v>547</x:v>
      </x:c>
      <x:c r="E82" s="46" t="s">
        <x:v>40</x:v>
      </x:c>
      <x:c r="F82" s="46">
        <x:v>17152</x:v>
      </x:c>
    </x:row>
    <x:row r="83" spans="1:28">
      <x:c r="B83" s="15" t="e">
        <x:f>IF(ISBLANK(INDIRECT(ADDRESS(ROW(),3))),"",ROW() - 6 + 'Доходы и расходы за 2 квартал'!$Z$2)</x:f>
        <x:v>#NAME?</x:v>
      </x:c>
      <x:c r="C83" s="44" t="s">
        <x:v>548</x:v>
      </x:c>
      <x:c r="D83" s="45" t="s">
        <x:v>549</x:v>
      </x:c>
      <x:c r="E83" s="46" t="s">
        <x:v>40</x:v>
      </x:c>
      <x:c r="F83" s="46">
        <x:v>11963</x:v>
      </x:c>
    </x:row>
    <x:row r="84" spans="1:28">
      <x:c r="B84" s="15" t="e">
        <x:f>IF(ISBLANK(INDIRECT(ADDRESS(ROW(),3))),"",ROW() - 6 + 'Доходы и расходы за 2 квартал'!$Z$2)</x:f>
        <x:v>#NAME?</x:v>
      </x:c>
      <x:c r="C84" s="44" t="s">
        <x:v>550</x:v>
      </x:c>
      <x:c r="D84" s="45" t="s">
        <x:v>551</x:v>
      </x:c>
      <x:c r="E84" s="46" t="s">
        <x:v>40</x:v>
      </x:c>
      <x:c r="F84" s="46">
        <x:v>21600</x:v>
      </x:c>
    </x:row>
    <x:row r="85" spans="1:28">
      <x:c r="B85" s="15" t="e">
        <x:f>IF(ISBLANK(INDIRECT(ADDRESS(ROW(),3))),"",ROW() - 6 + 'Доходы и расходы за 2 квартал'!$Z$2)</x:f>
        <x:v>#NAME?</x:v>
      </x:c>
      <x:c r="C85" s="44" t="s">
        <x:v>552</x:v>
      </x:c>
      <x:c r="D85" s="45" t="s">
        <x:v>553</x:v>
      </x:c>
      <x:c r="E85" s="46" t="s">
        <x:v>40</x:v>
      </x:c>
      <x:c r="F85" s="46">
        <x:v>1594.9</x:v>
      </x:c>
    </x:row>
    <x:row r="86" spans="1:28">
      <x:c r="B86" s="15" t="e">
        <x:f>IF(ISBLANK(INDIRECT(ADDRESS(ROW(),3))),"",ROW() - 6 + 'Доходы и расходы за 2 квартал'!$Z$2)</x:f>
        <x:v>#NAME?</x:v>
      </x:c>
      <x:c r="C86" s="44" t="s">
        <x:v>554</x:v>
      </x:c>
      <x:c r="D86" s="45" t="s">
        <x:v>555</x:v>
      </x:c>
      <x:c r="E86" s="46" t="s">
        <x:v>40</x:v>
      </x:c>
      <x:c r="F86" s="46">
        <x:v>10693</x:v>
      </x:c>
    </x:row>
    <x:row r="87" spans="1:28">
      <x:c r="B87" s="15" t="e">
        <x:f>IF(ISBLANK(INDIRECT(ADDRESS(ROW(),3))),"",ROW() - 6 + 'Доходы и расходы за 2 квартал'!$Z$2)</x:f>
        <x:v>#NAME?</x:v>
      </x:c>
      <x:c r="C87" s="44" t="s">
        <x:v>556</x:v>
      </x:c>
      <x:c r="D87" s="45" t="s">
        <x:v>557</x:v>
      </x:c>
      <x:c r="E87" s="46" t="s">
        <x:v>40</x:v>
      </x:c>
      <x:c r="F87" s="46">
        <x:v>28153</x:v>
      </x:c>
    </x:row>
    <x:row r="88" spans="1:28">
      <x:c r="B88" s="15" t="e">
        <x:f>IF(ISBLANK(INDIRECT(ADDRESS(ROW(),3))),"",ROW() - 6 + 'Доходы и расходы за 2 квартал'!$Z$2)</x:f>
        <x:v>#NAME?</x:v>
      </x:c>
      <x:c r="C88" s="44" t="s">
        <x:v>558</x:v>
      </x:c>
      <x:c r="D88" s="45" t="s">
        <x:v>559</x:v>
      </x:c>
      <x:c r="E88" s="46" t="s">
        <x:v>40</x:v>
      </x:c>
      <x:c r="F88" s="46">
        <x:v>37216.58</x:v>
      </x:c>
    </x:row>
    <x:row r="89" spans="1:28">
      <x:c r="B89" s="15" t="e">
        <x:f>IF(ISBLANK(INDIRECT(ADDRESS(ROW(),3))),"",ROW() - 6 + 'Доходы и расходы за 2 квартал'!$Z$2)</x:f>
        <x:v>#NAME?</x:v>
      </x:c>
      <x:c r="C89" s="44" t="s">
        <x:v>560</x:v>
      </x:c>
      <x:c r="D89" s="45" t="s">
        <x:v>561</x:v>
      </x:c>
      <x:c r="E89" s="46" t="s">
        <x:v>40</x:v>
      </x:c>
      <x:c r="F89" s="46">
        <x:v>50000</x:v>
      </x:c>
    </x:row>
    <x:row r="90" spans="1:28">
      <x:c r="B90" s="15" t="e">
        <x:f>IF(ISBLANK(INDIRECT(ADDRESS(ROW(),3))),"",ROW() - 6 + 'Доходы и расходы за 2 квартал'!$Z$2)</x:f>
        <x:v>#NAME?</x:v>
      </x:c>
      <x:c r="C90" s="44" t="s">
        <x:v>562</x:v>
      </x:c>
      <x:c r="D90" s="45" t="s">
        <x:v>563</x:v>
      </x:c>
      <x:c r="E90" s="46" t="s">
        <x:v>40</x:v>
      </x:c>
      <x:c r="F90" s="46">
        <x:v>44680</x:v>
      </x:c>
    </x:row>
    <x:row r="91" spans="1:28">
      <x:c r="B91" s="15" t="e">
        <x:f>IF(ISBLANK(INDIRECT(ADDRESS(ROW(),3))),"",ROW() - 6 + 'Доходы и расходы за 2 квартал'!$Z$2)</x:f>
        <x:v>#NAME?</x:v>
      </x:c>
      <x:c r="C91" s="44" t="s">
        <x:v>564</x:v>
      </x:c>
      <x:c r="D91" s="45" t="s">
        <x:v>565</x:v>
      </x:c>
      <x:c r="E91" s="46" t="s">
        <x:v>40</x:v>
      </x:c>
      <x:c r="F91" s="46">
        <x:v>44680</x:v>
      </x:c>
    </x:row>
    <x:row r="92" spans="1:28">
      <x:c r="B92" s="15" t="e">
        <x:f>IF(ISBLANK(INDIRECT(ADDRESS(ROW(),3))),"",ROW() - 6 + 'Доходы и расходы за 2 квартал'!$Z$2)</x:f>
        <x:v>#NAME?</x:v>
      </x:c>
      <x:c r="C92" s="44" t="s">
        <x:v>566</x:v>
      </x:c>
      <x:c r="D92" s="45" t="s">
        <x:v>567</x:v>
      </x:c>
      <x:c r="E92" s="46" t="s">
        <x:v>40</x:v>
      </x:c>
      <x:c r="F92" s="46">
        <x:v>49448.11</x:v>
      </x:c>
    </x:row>
    <x:row r="93" spans="1:28">
      <x:c r="B93" s="15" t="e">
        <x:f>IF(ISBLANK(INDIRECT(ADDRESS(ROW(),3))),"",ROW() - 6 + 'Доходы и расходы за 2 квартал'!$Z$2)</x:f>
        <x:v>#NAME?</x:v>
      </x:c>
      <x:c r="C93" s="44" t="s">
        <x:v>568</x:v>
      </x:c>
      <x:c r="D93" s="45" t="s">
        <x:v>569</x:v>
      </x:c>
      <x:c r="E93" s="46" t="s">
        <x:v>40</x:v>
      </x:c>
      <x:c r="F93" s="46">
        <x:v>8186.66</x:v>
      </x:c>
    </x:row>
    <x:row r="94" spans="1:28">
      <x:c r="B94" s="15" t="e">
        <x:f>IF(ISBLANK(INDIRECT(ADDRESS(ROW(),3))),"",ROW() - 6 + 'Доходы и расходы за 2 квартал'!$Z$2)</x:f>
        <x:v>#NAME?</x:v>
      </x:c>
      <x:c r="C94" s="44" t="s">
        <x:v>570</x:v>
      </x:c>
      <x:c r="D94" s="45" t="s">
        <x:v>571</x:v>
      </x:c>
      <x:c r="E94" s="46" t="s">
        <x:v>40</x:v>
      </x:c>
      <x:c r="F94" s="46">
        <x:v>5984.6</x:v>
      </x:c>
    </x:row>
    <x:row r="95" spans="1:28">
      <x:c r="B95" s="15" t="e">
        <x:f>IF(ISBLANK(INDIRECT(ADDRESS(ROW(),3))),"",ROW() - 6 + 'Доходы и расходы за 2 квартал'!$Z$2)</x:f>
        <x:v>#NAME?</x:v>
      </x:c>
      <x:c r="C95" s="44" t="s">
        <x:v>572</x:v>
      </x:c>
      <x:c r="D95" s="45" t="s">
        <x:v>573</x:v>
      </x:c>
      <x:c r="E95" s="46" t="s">
        <x:v>40</x:v>
      </x:c>
      <x:c r="F95" s="46">
        <x:v>17040.95</x:v>
      </x:c>
    </x:row>
    <x:row r="96" spans="1:28">
      <x:c r="B96" s="15" t="e">
        <x:f>IF(ISBLANK(INDIRECT(ADDRESS(ROW(),3))),"",ROW() - 6 + 'Доходы и расходы за 2 квартал'!$Z$2)</x:f>
        <x:v>#NAME?</x:v>
      </x:c>
      <x:c r="C96" s="44" t="s">
        <x:v>574</x:v>
      </x:c>
      <x:c r="D96" s="45" t="s">
        <x:v>93</x:v>
      </x:c>
      <x:c r="E96" s="46" t="s">
        <x:v>40</x:v>
      </x:c>
      <x:c r="F96" s="46">
        <x:v>4350</x:v>
      </x:c>
    </x:row>
    <x:row r="97" spans="1:28">
      <x:c r="B97" s="15" t="e">
        <x:f>IF(ISBLANK(INDIRECT(ADDRESS(ROW(),3))),"",ROW() - 6 + 'Доходы и расходы за 2 квартал'!$Z$2)</x:f>
        <x:v>#NAME?</x:v>
      </x:c>
      <x:c r="C97" s="44" t="s">
        <x:v>575</x:v>
      </x:c>
      <x:c r="D97" s="45" t="s">
        <x:v>576</x:v>
      </x:c>
      <x:c r="E97" s="46" t="s">
        <x:v>40</x:v>
      </x:c>
      <x:c r="F97" s="46">
        <x:v>67493.09</x:v>
      </x:c>
    </x:row>
    <x:row r="98" spans="1:28">
      <x:c r="B98" s="15" t="e">
        <x:f>IF(ISBLANK(INDIRECT(ADDRESS(ROW(),3))),"",ROW() - 6 + 'Доходы и расходы за 2 квартал'!$Z$2)</x:f>
        <x:v>#NAME?</x:v>
      </x:c>
      <x:c r="C98" s="44" t="s">
        <x:v>577</x:v>
      </x:c>
      <x:c r="D98" s="45" t="s">
        <x:v>578</x:v>
      </x:c>
      <x:c r="E98" s="46" t="s">
        <x:v>40</x:v>
      </x:c>
      <x:c r="F98" s="46">
        <x:v>1678.06</x:v>
      </x:c>
    </x:row>
    <x:row r="99" spans="1:28">
      <x:c r="B99" s="15" t="e">
        <x:f>IF(ISBLANK(INDIRECT(ADDRESS(ROW(),3))),"",ROW() - 6 + 'Доходы и расходы за 2 квартал'!$Z$2)</x:f>
        <x:v>#NAME?</x:v>
      </x:c>
      <x:c r="C99" s="44" t="s">
        <x:v>579</x:v>
      </x:c>
      <x:c r="D99" s="45" t="s">
        <x:v>580</x:v>
      </x:c>
      <x:c r="E99" s="46" t="s">
        <x:v>40</x:v>
      </x:c>
      <x:c r="F99" s="46">
        <x:v>13613.1</x:v>
      </x:c>
    </x:row>
    <x:row r="100" spans="1:28">
      <x:c r="B100" s="15" t="e">
        <x:f>IF(ISBLANK(INDIRECT(ADDRESS(ROW(),3))),"",ROW() - 6 + 'Доходы и расходы за 2 квартал'!$Z$2)</x:f>
        <x:v>#NAME?</x:v>
      </x:c>
      <x:c r="C100" s="44" t="s">
        <x:v>581</x:v>
      </x:c>
      <x:c r="D100" s="45" t="s">
        <x:v>582</x:v>
      </x:c>
      <x:c r="E100" s="46" t="s">
        <x:v>40</x:v>
      </x:c>
      <x:c r="F100" s="46">
        <x:v>309</x:v>
      </x:c>
    </x:row>
    <x:row r="101" spans="1:28">
      <x:c r="B101" s="15" t="e">
        <x:f>IF(ISBLANK(INDIRECT(ADDRESS(ROW(),3))),"",ROW() - 6 + 'Доходы и расходы за 2 квартал'!$Z$2)</x:f>
        <x:v>#NAME?</x:v>
      </x:c>
      <x:c r="C101" s="44" t="s">
        <x:v>583</x:v>
      </x:c>
      <x:c r="D101" s="45" t="s">
        <x:v>584</x:v>
      </x:c>
      <x:c r="E101" s="46">
        <x:v>3758.9</x:v>
      </x:c>
      <x:c r="F101" s="46" t="s">
        <x:v>40</x:v>
      </x:c>
    </x:row>
    <x:row r="102" spans="1:28">
      <x:c r="B102" s="15" t="e">
        <x:f>IF(ISBLANK(INDIRECT(ADDRESS(ROW(),3))),"",ROW() - 6 + 'Доходы и расходы за 2 квартал'!$Z$2)</x:f>
        <x:v>#NAME?</x:v>
      </x:c>
      <x:c r="C102" s="44" t="s">
        <x:v>585</x:v>
      </x:c>
      <x:c r="D102" s="45" t="s">
        <x:v>586</x:v>
      </x:c>
      <x:c r="E102" s="46" t="s">
        <x:v>40</x:v>
      </x:c>
      <x:c r="F102" s="46">
        <x:v>25000</x:v>
      </x:c>
    </x:row>
    <x:row r="103" spans="1:28">
      <x:c r="B103" s="15" t="e">
        <x:f>IF(ISBLANK(INDIRECT(ADDRESS(ROW(),3))),"",ROW() - 6 + 'Доходы и расходы за 2 квартал'!$Z$2)</x:f>
        <x:v>#NAME?</x:v>
      </x:c>
      <x:c r="C103" s="44" t="s">
        <x:v>587</x:v>
      </x:c>
      <x:c r="D103" s="45" t="s">
        <x:v>561</x:v>
      </x:c>
      <x:c r="E103" s="46" t="s">
        <x:v>40</x:v>
      </x:c>
      <x:c r="F103" s="46">
        <x:v>50000</x:v>
      </x:c>
    </x:row>
    <x:row r="104" spans="1:28">
      <x:c r="B104" s="15" t="e">
        <x:f>IF(ISBLANK(INDIRECT(ADDRESS(ROW(),3))),"",ROW() - 6 + 'Доходы и расходы за 2 квартал'!$Z$2)</x:f>
        <x:v>#NAME?</x:v>
      </x:c>
      <x:c r="C104" s="44" t="s">
        <x:v>588</x:v>
      </x:c>
      <x:c r="D104" s="45" t="s">
        <x:v>589</x:v>
      </x:c>
      <x:c r="E104" s="46" t="s">
        <x:v>40</x:v>
      </x:c>
      <x:c r="F104" s="46">
        <x:v>18094.64</x:v>
      </x:c>
    </x:row>
    <x:row r="105" spans="1:28">
      <x:c r="B105" s="15" t="e">
        <x:f>IF(ISBLANK(INDIRECT(ADDRESS(ROW(),3))),"",ROW() - 6 + 'Доходы и расходы за 2 квартал'!$Z$2)</x:f>
        <x:v>#NAME?</x:v>
      </x:c>
      <x:c r="C105" s="44" t="s">
        <x:v>590</x:v>
      </x:c>
      <x:c r="D105" s="45" t="s">
        <x:v>591</x:v>
      </x:c>
      <x:c r="E105" s="46" t="s">
        <x:v>40</x:v>
      </x:c>
      <x:c r="F105" s="46">
        <x:v>14119</x:v>
      </x:c>
    </x:row>
    <x:row r="106" spans="1:28">
      <x:c r="B106" s="15" t="e">
        <x:f>IF(ISBLANK(INDIRECT(ADDRESS(ROW(),3))),"",ROW() - 6 + 'Доходы и расходы за 2 квартал'!$Z$2)</x:f>
        <x:v>#NAME?</x:v>
      </x:c>
      <x:c r="C106" s="44" t="s">
        <x:v>592</x:v>
      </x:c>
      <x:c r="D106" s="45" t="s">
        <x:v>593</x:v>
      </x:c>
      <x:c r="E106" s="46" t="s">
        <x:v>40</x:v>
      </x:c>
      <x:c r="F106" s="46">
        <x:v>17114.35</x:v>
      </x:c>
    </x:row>
    <x:row r="107" spans="1:28">
      <x:c r="B107" s="15" t="e">
        <x:f>IF(ISBLANK(INDIRECT(ADDRESS(ROW(),3))),"",ROW() - 6 + 'Доходы и расходы за 2 квартал'!$Z$2)</x:f>
        <x:v>#NAME?</x:v>
      </x:c>
      <x:c r="C107" s="44" t="s">
        <x:v>594</x:v>
      </x:c>
      <x:c r="D107" s="45" t="s">
        <x:v>595</x:v>
      </x:c>
      <x:c r="E107" s="46" t="s">
        <x:v>40</x:v>
      </x:c>
      <x:c r="F107" s="46">
        <x:v>5291.39</x:v>
      </x:c>
    </x:row>
    <x:row r="108" spans="1:28">
      <x:c r="B108" s="15" t="e">
        <x:f>IF(ISBLANK(INDIRECT(ADDRESS(ROW(),3))),"",ROW() - 6 + 'Доходы и расходы за 2 квартал'!$Z$2)</x:f>
        <x:v>#NAME?</x:v>
      </x:c>
      <x:c r="C108" s="44" t="s">
        <x:v>596</x:v>
      </x:c>
      <x:c r="D108" s="45" t="s">
        <x:v>597</x:v>
      </x:c>
      <x:c r="E108" s="46" t="s">
        <x:v>40</x:v>
      </x:c>
      <x:c r="F108" s="46">
        <x:v>2834.72</x:v>
      </x:c>
    </x:row>
    <x:row r="109" spans="1:28">
      <x:c r="B109" s="15" t="e">
        <x:f>IF(ISBLANK(INDIRECT(ADDRESS(ROW(),3))),"",ROW() - 6 + 'Доходы и расходы за 2 квартал'!$Z$2)</x:f>
        <x:v>#NAME?</x:v>
      </x:c>
      <x:c r="C109" s="44" t="s">
        <x:v>598</x:v>
      </x:c>
      <x:c r="D109" s="45" t="s">
        <x:v>599</x:v>
      </x:c>
      <x:c r="E109" s="46" t="s">
        <x:v>40</x:v>
      </x:c>
      <x:c r="F109" s="46">
        <x:v>941.54</x:v>
      </x:c>
    </x:row>
    <x:row r="110" spans="1:28">
      <x:c r="B110" s="15" t="e">
        <x:f>IF(ISBLANK(INDIRECT(ADDRESS(ROW(),3))),"",ROW() - 6 + 'Доходы и расходы за 2 квартал'!$Z$2)</x:f>
        <x:v>#NAME?</x:v>
      </x:c>
      <x:c r="C110" s="44" t="s">
        <x:v>600</x:v>
      </x:c>
      <x:c r="D110" s="45" t="s">
        <x:v>601</x:v>
      </x:c>
      <x:c r="E110" s="46" t="s">
        <x:v>40</x:v>
      </x:c>
      <x:c r="F110" s="46">
        <x:v>27596</x:v>
      </x:c>
    </x:row>
    <x:row r="111" spans="1:28">
      <x:c r="B111" s="15" t="e">
        <x:f>IF(ISBLANK(INDIRECT(ADDRESS(ROW(),3))),"",ROW() - 6 + 'Доходы и расходы за 2 квартал'!$Z$2)</x:f>
        <x:v>#NAME?</x:v>
      </x:c>
      <x:c r="C111" s="44" t="s">
        <x:v>602</x:v>
      </x:c>
      <x:c r="D111" s="45" t="s">
        <x:v>603</x:v>
      </x:c>
      <x:c r="E111" s="46">
        <x:v>21498.73</x:v>
      </x:c>
      <x:c r="F111" s="46" t="s">
        <x:v>40</x:v>
      </x:c>
    </x:row>
    <x:row r="112" spans="1:28">
      <x:c r="B112" s="15" t="e">
        <x:f>IF(ISBLANK(INDIRECT(ADDRESS(ROW(),3))),"",ROW() - 6 + 'Доходы и расходы за 2 квартал'!$Z$2)</x:f>
        <x:v>#NAME?</x:v>
      </x:c>
      <x:c r="C112" s="44" t="s">
        <x:v>604</x:v>
      </x:c>
      <x:c r="D112" s="45" t="s">
        <x:v>605</x:v>
      </x:c>
      <x:c r="E112" s="46" t="s">
        <x:v>40</x:v>
      </x:c>
      <x:c r="F112" s="46">
        <x:v>2012.85</x:v>
      </x:c>
    </x:row>
    <x:row r="113" spans="1:28">
      <x:c r="B113" s="15" t="e">
        <x:f>IF(ISBLANK(INDIRECT(ADDRESS(ROW(),3))),"",ROW() - 6 + 'Доходы и расходы за 2 квартал'!$Z$2)</x:f>
        <x:v>#NAME?</x:v>
      </x:c>
      <x:c r="C113" s="44" t="s">
        <x:v>606</x:v>
      </x:c>
      <x:c r="D113" s="45" t="s">
        <x:v>607</x:v>
      </x:c>
      <x:c r="E113" s="46" t="s">
        <x:v>40</x:v>
      </x:c>
      <x:c r="F113" s="46">
        <x:v>11962</x:v>
      </x:c>
    </x:row>
    <x:row r="114" spans="1:28">
      <x:c r="B114" s="15" t="e">
        <x:f>IF(ISBLANK(INDIRECT(ADDRESS(ROW(),3))),"",ROW() - 6 + 'Доходы и расходы за 2 квартал'!$Z$2)</x:f>
        <x:v>#NAME?</x:v>
      </x:c>
      <x:c r="C114" s="44" t="s">
        <x:v>608</x:v>
      </x:c>
      <x:c r="D114" s="45" t="s">
        <x:v>561</x:v>
      </x:c>
      <x:c r="E114" s="46" t="s">
        <x:v>40</x:v>
      </x:c>
      <x:c r="F114" s="46">
        <x:v>50000</x:v>
      </x:c>
    </x:row>
    <x:row r="115" spans="1:28">
      <x:c r="B115" s="15" t="e">
        <x:f>IF(ISBLANK(INDIRECT(ADDRESS(ROW(),3))),"",ROW() - 6 + 'Доходы и расходы за 2 квартал'!$Z$2)</x:f>
        <x:v>#NAME?</x:v>
      </x:c>
      <x:c r="C115" s="44" t="s">
        <x:v>609</x:v>
      </x:c>
      <x:c r="D115" s="45" t="s">
        <x:v>610</x:v>
      </x:c>
      <x:c r="E115" s="46" t="s">
        <x:v>40</x:v>
      </x:c>
      <x:c r="F115" s="46">
        <x:v>4142.91</x:v>
      </x:c>
    </x:row>
    <x:row r="116" spans="1:28">
      <x:c r="B116" s="15" t="e">
        <x:f>IF(ISBLANK(INDIRECT(ADDRESS(ROW(),3))),"",ROW() - 6 + 'Доходы и расходы за 2 квартал'!$Z$2)</x:f>
        <x:v>#NAME?</x:v>
      </x:c>
      <x:c r="C116" s="44" t="s">
        <x:v>611</x:v>
      </x:c>
      <x:c r="D116" s="45" t="s">
        <x:v>612</x:v>
      </x:c>
      <x:c r="E116" s="46" t="s">
        <x:v>40</x:v>
      </x:c>
      <x:c r="F116" s="46">
        <x:v>46740</x:v>
      </x:c>
    </x:row>
    <x:row r="117" spans="1:28">
      <x:c r="B117" s="15" t="e">
        <x:f>IF(ISBLANK(INDIRECT(ADDRESS(ROW(),3))),"",ROW() - 6 + 'Доходы и расходы за 2 квартал'!$Z$2)</x:f>
        <x:v>#NAME?</x:v>
      </x:c>
      <x:c r="C117" s="44" t="s">
        <x:v>613</x:v>
      </x:c>
      <x:c r="D117" s="45" t="s">
        <x:v>614</x:v>
      </x:c>
      <x:c r="E117" s="46" t="s">
        <x:v>40</x:v>
      </x:c>
      <x:c r="F117" s="46">
        <x:v>199</x:v>
      </x:c>
    </x:row>
    <x:row r="118" spans="1:28">
      <x:c r="B118" s="15" t="e">
        <x:f>IF(ISBLANK(INDIRECT(ADDRESS(ROW(),3))),"",ROW() - 6 + 'Доходы и расходы за 2 квартал'!$Z$2)</x:f>
        <x:v>#NAME?</x:v>
      </x:c>
      <x:c r="C118" s="44" t="s">
        <x:v>615</x:v>
      </x:c>
      <x:c r="D118" s="45" t="s">
        <x:v>616</x:v>
      </x:c>
      <x:c r="E118" s="46" t="s">
        <x:v>40</x:v>
      </x:c>
      <x:c r="F118" s="46">
        <x:v>36871.38</x:v>
      </x:c>
    </x:row>
    <x:row r="119" spans="1:28">
      <x:c r="B119" s="15" t="e">
        <x:f>IF(ISBLANK(INDIRECT(ADDRESS(ROW(),3))),"",ROW() - 6 + 'Доходы и расходы за 2 квартал'!$Z$2)</x:f>
        <x:v>#NAME?</x:v>
      </x:c>
      <x:c r="C119" s="44" t="s">
        <x:v>617</x:v>
      </x:c>
      <x:c r="D119" s="45" t="s">
        <x:v>618</x:v>
      </x:c>
      <x:c r="E119" s="46">
        <x:v>3240.33</x:v>
      </x:c>
      <x:c r="F119" s="46" t="s">
        <x:v>40</x:v>
      </x:c>
    </x:row>
    <x:row r="120" spans="1:28">
      <x:c r="B120" s="15" t="e">
        <x:f>IF(ISBLANK(INDIRECT(ADDRESS(ROW(),3))),"",ROW() - 6 + 'Доходы и расходы за 2 квартал'!$Z$2)</x:f>
        <x:v>#NAME?</x:v>
      </x:c>
      <x:c r="C120" s="44" t="s">
        <x:v>619</x:v>
      </x:c>
      <x:c r="D120" s="45" t="s">
        <x:v>620</x:v>
      </x:c>
      <x:c r="E120" s="46" t="s">
        <x:v>40</x:v>
      </x:c>
      <x:c r="F120" s="46">
        <x:v>3773.4</x:v>
      </x:c>
    </x:row>
    <x:row r="121" spans="1:28">
      <x:c r="B121" s="15" t="e">
        <x:f>IF(ISBLANK(INDIRECT(ADDRESS(ROW(),3))),"",ROW() - 6 + 'Доходы и расходы за 2 квартал'!$Z$2)</x:f>
        <x:v>#NAME?</x:v>
      </x:c>
      <x:c r="C121" s="44" t="s">
        <x:v>621</x:v>
      </x:c>
      <x:c r="D121" s="45" t="s">
        <x:v>622</x:v>
      </x:c>
      <x:c r="E121" s="46" t="s">
        <x:v>40</x:v>
      </x:c>
      <x:c r="F121" s="46">
        <x:v>3256.97</x:v>
      </x:c>
    </x:row>
    <x:row r="122" spans="1:28">
      <x:c r="B122" s="15" t="e">
        <x:f>IF(ISBLANK(INDIRECT(ADDRESS(ROW(),3))),"",ROW() - 6 + 'Доходы и расходы за 2 квартал'!$Z$2)</x:f>
        <x:v>#NAME?</x:v>
      </x:c>
      <x:c r="C122" s="44" t="s">
        <x:v>623</x:v>
      </x:c>
      <x:c r="D122" s="45" t="s">
        <x:v>624</x:v>
      </x:c>
      <x:c r="E122" s="46" t="s">
        <x:v>40</x:v>
      </x:c>
      <x:c r="F122" s="46">
        <x:v>985</x:v>
      </x:c>
    </x:row>
    <x:row r="123" spans="1:28">
      <x:c r="B123" s="15" t="e">
        <x:f>IF(ISBLANK(INDIRECT(ADDRESS(ROW(),3))),"",ROW() - 6 + 'Доходы и расходы за 2 квартал'!$Z$2)</x:f>
        <x:v>#NAME?</x:v>
      </x:c>
      <x:c r="C123" s="44" t="s">
        <x:v>625</x:v>
      </x:c>
      <x:c r="D123" s="45" t="s">
        <x:v>626</x:v>
      </x:c>
      <x:c r="E123" s="46" t="s">
        <x:v>40</x:v>
      </x:c>
      <x:c r="F123" s="46">
        <x:v>74738.16</x:v>
      </x:c>
    </x:row>
    <x:row r="124" spans="1:28">
      <x:c r="B124" s="15" t="e">
        <x:f>IF(ISBLANK(INDIRECT(ADDRESS(ROW(),3))),"",ROW() - 6 + 'Доходы и расходы за 2 квартал'!$Z$2)</x:f>
        <x:v>#NAME?</x:v>
      </x:c>
      <x:c r="C124" s="44" t="s">
        <x:v>627</x:v>
      </x:c>
      <x:c r="D124" s="45" t="s">
        <x:v>628</x:v>
      </x:c>
      <x:c r="E124" s="46" t="s">
        <x:v>40</x:v>
      </x:c>
      <x:c r="F124" s="46">
        <x:v>8024.35</x:v>
      </x:c>
    </x:row>
    <x:row r="125" spans="1:28">
      <x:c r="B125" s="15" t="e">
        <x:f>IF(ISBLANK(INDIRECT(ADDRESS(ROW(),3))),"",ROW() - 6 + 'Доходы и расходы за 2 квартал'!$Z$2)</x:f>
        <x:v>#NAME?</x:v>
      </x:c>
      <x:c r="C125" s="44" t="s">
        <x:v>629</x:v>
      </x:c>
      <x:c r="D125" s="45" t="s">
        <x:v>630</x:v>
      </x:c>
      <x:c r="E125" s="46">
        <x:v>50632.57</x:v>
      </x:c>
      <x:c r="F125" s="46" t="s">
        <x:v>40</x:v>
      </x:c>
    </x:row>
    <x:row r="126" spans="1:28">
      <x:c r="B126" s="15" t="e">
        <x:f>IF(ISBLANK(INDIRECT(ADDRESS(ROW(),3))),"",ROW() - 6 + 'Доходы и расходы за 2 квартал'!$Z$2)</x:f>
        <x:v>#NAME?</x:v>
      </x:c>
      <x:c r="C126" s="44" t="s">
        <x:v>631</x:v>
      </x:c>
      <x:c r="D126" s="45" t="s">
        <x:v>632</x:v>
      </x:c>
      <x:c r="E126" s="46" t="s">
        <x:v>40</x:v>
      </x:c>
      <x:c r="F126" s="46">
        <x:v>1890</x:v>
      </x:c>
    </x:row>
    <x:row r="127" spans="1:28">
      <x:c r="B127" s="15" t="e">
        <x:f>IF(ISBLANK(INDIRECT(ADDRESS(ROW(),3))),"",ROW() - 6 + 'Доходы и расходы за 2 квартал'!$Z$2)</x:f>
        <x:v>#NAME?</x:v>
      </x:c>
      <x:c r="C127" s="44" t="s">
        <x:v>633</x:v>
      </x:c>
      <x:c r="D127" s="45" t="s">
        <x:v>634</x:v>
      </x:c>
      <x:c r="E127" s="46">
        <x:v>2976.44</x:v>
      </x:c>
      <x:c r="F127" s="46" t="s">
        <x:v>40</x:v>
      </x:c>
    </x:row>
    <x:row r="128" spans="1:28">
      <x:c r="B128" s="15" t="e">
        <x:f>IF(ISBLANK(INDIRECT(ADDRESS(ROW(),3))),"",ROW() - 6 + 'Доходы и расходы за 2 квартал'!$Z$2)</x:f>
        <x:v>#NAME?</x:v>
      </x:c>
      <x:c r="C128" s="44" t="s">
        <x:v>635</x:v>
      </x:c>
      <x:c r="D128" s="45" t="s">
        <x:v>636</x:v>
      </x:c>
      <x:c r="E128" s="46" t="s">
        <x:v>40</x:v>
      </x:c>
      <x:c r="F128" s="46">
        <x:v>160</x:v>
      </x:c>
    </x:row>
    <x:row r="129" spans="1:28">
      <x:c r="B129" s="15" t="e">
        <x:f>IF(ISBLANK(INDIRECT(ADDRESS(ROW(),3))),"",ROW() - 6 + 'Доходы и расходы за 2 квартал'!$Z$2)</x:f>
        <x:v>#NAME?</x:v>
      </x:c>
      <x:c r="C129" s="44" t="s">
        <x:v>637</x:v>
      </x:c>
      <x:c r="D129" s="45" t="s">
        <x:v>638</x:v>
      </x:c>
      <x:c r="E129" s="46" t="s">
        <x:v>40</x:v>
      </x:c>
      <x:c r="F129" s="46">
        <x:v>10933.35</x:v>
      </x:c>
    </x:row>
    <x:row r="130" spans="1:28">
      <x:c r="B130" s="15" t="e">
        <x:f>IF(ISBLANK(INDIRECT(ADDRESS(ROW(),3))),"",ROW() - 6 + 'Доходы и расходы за 2 квартал'!$Z$2)</x:f>
        <x:v>#NAME?</x:v>
      </x:c>
      <x:c r="C130" s="44" t="s">
        <x:v>639</x:v>
      </x:c>
      <x:c r="D130" s="45" t="s">
        <x:v>640</x:v>
      </x:c>
      <x:c r="E130" s="46" t="s">
        <x:v>40</x:v>
      </x:c>
      <x:c r="F130" s="46">
        <x:v>1119.29</x:v>
      </x:c>
    </x:row>
    <x:row r="131" spans="1:28">
      <x:c r="B131" s="15" t="e">
        <x:f>IF(ISBLANK(INDIRECT(ADDRESS(ROW(),3))),"",ROW() - 6 + 'Доходы и расходы за 2 квартал'!$Z$2)</x:f>
        <x:v>#NAME?</x:v>
      </x:c>
      <x:c r="C131" s="44" t="s">
        <x:v>641</x:v>
      </x:c>
      <x:c r="D131" s="45" t="s">
        <x:v>642</x:v>
      </x:c>
      <x:c r="E131" s="46" t="s">
        <x:v>40</x:v>
      </x:c>
      <x:c r="F131" s="46">
        <x:v>2675.26</x:v>
      </x:c>
    </x:row>
    <x:row r="132" spans="1:28">
      <x:c r="B132" s="15" t="e">
        <x:f>IF(ISBLANK(INDIRECT(ADDRESS(ROW(),3))),"",ROW() - 6 + 'Доходы и расходы за 2 квартал'!$Z$2)</x:f>
        <x:v>#NAME?</x:v>
      </x:c>
      <x:c r="C132" s="44" t="s">
        <x:v>643</x:v>
      </x:c>
      <x:c r="D132" s="45" t="s">
        <x:v>644</x:v>
      </x:c>
      <x:c r="E132" s="46" t="s">
        <x:v>40</x:v>
      </x:c>
      <x:c r="F132" s="46">
        <x:v>2575.67</x:v>
      </x:c>
    </x:row>
    <x:row r="133" spans="1:28">
      <x:c r="B133" s="15" t="e">
        <x:f>IF(ISBLANK(INDIRECT(ADDRESS(ROW(),3))),"",ROW() - 6 + 'Доходы и расходы за 2 квартал'!$Z$2)</x:f>
        <x:v>#NAME?</x:v>
      </x:c>
      <x:c r="C133" s="44" t="s">
        <x:v>645</x:v>
      </x:c>
      <x:c r="D133" s="45" t="s">
        <x:v>646</x:v>
      </x:c>
      <x:c r="E133" s="46" t="s">
        <x:v>40</x:v>
      </x:c>
      <x:c r="F133" s="46">
        <x:v>1236.32</x:v>
      </x:c>
    </x:row>
    <x:row r="134" spans="1:28">
      <x:c r="B134" s="15" t="e">
        <x:f>IF(ISBLANK(INDIRECT(ADDRESS(ROW(),3))),"",ROW() - 6 + 'Доходы и расходы за 2 квартал'!$Z$2)</x:f>
        <x:v>#NAME?</x:v>
      </x:c>
      <x:c r="C134" s="44" t="s">
        <x:v>647</x:v>
      </x:c>
      <x:c r="D134" s="45" t="s">
        <x:v>648</x:v>
      </x:c>
      <x:c r="E134" s="46" t="s">
        <x:v>40</x:v>
      </x:c>
      <x:c r="F134" s="46">
        <x:v>24397</x:v>
      </x:c>
    </x:row>
    <x:row r="135" spans="1:28">
      <x:c r="B135" s="15" t="e">
        <x:f>IF(ISBLANK(INDIRECT(ADDRESS(ROW(),3))),"",ROW() - 6 + 'Доходы и расходы за 2 квартал'!$Z$2)</x:f>
        <x:v>#NAME?</x:v>
      </x:c>
      <x:c r="C135" s="44" t="s">
        <x:v>649</x:v>
      </x:c>
      <x:c r="D135" s="45" t="s">
        <x:v>650</x:v>
      </x:c>
      <x:c r="E135" s="46" t="s">
        <x:v>40</x:v>
      </x:c>
      <x:c r="F135" s="46">
        <x:v>31132</x:v>
      </x:c>
    </x:row>
    <x:row r="136" spans="1:28">
      <x:c r="B136" s="15" t="e">
        <x:f>IF(ISBLANK(INDIRECT(ADDRESS(ROW(),3))),"",ROW() - 6 + 'Доходы и расходы за 2 квартал'!$Z$2)</x:f>
        <x:v>#NAME?</x:v>
      </x:c>
      <x:c r="C136" s="44" t="s">
        <x:v>651</x:v>
      </x:c>
      <x:c r="D136" s="45" t="s">
        <x:v>652</x:v>
      </x:c>
      <x:c r="E136" s="46" t="s">
        <x:v>40</x:v>
      </x:c>
      <x:c r="F136" s="46">
        <x:v>449</x:v>
      </x:c>
    </x:row>
    <x:row r="137" spans="1:28">
      <x:c r="B137" s="15" t="e">
        <x:f>IF(ISBLANK(INDIRECT(ADDRESS(ROW(),3))),"",ROW() - 6 + 'Доходы и расходы за 2 квартал'!$Z$2)</x:f>
        <x:v>#NAME?</x:v>
      </x:c>
      <x:c r="C137" s="44" t="s">
        <x:v>653</x:v>
      </x:c>
      <x:c r="D137" s="45" t="s">
        <x:v>91</x:v>
      </x:c>
      <x:c r="E137" s="46" t="s">
        <x:v>40</x:v>
      </x:c>
      <x:c r="F137" s="46">
        <x:v>17164.47</x:v>
      </x:c>
    </x:row>
    <x:row r="138" spans="1:28">
      <x:c r="B138" s="15" t="e">
        <x:f>IF(ISBLANK(INDIRECT(ADDRESS(ROW(),3))),"",ROW() - 6 + 'Доходы и расходы за 2 квартал'!$Z$2)</x:f>
        <x:v>#NAME?</x:v>
      </x:c>
      <x:c r="C138" s="44" t="s">
        <x:v>654</x:v>
      </x:c>
      <x:c r="D138" s="45" t="s">
        <x:v>93</x:v>
      </x:c>
      <x:c r="E138" s="46" t="s">
        <x:v>40</x:v>
      </x:c>
      <x:c r="F138" s="46">
        <x:v>2407</x:v>
      </x:c>
    </x:row>
    <x:row r="139" spans="1:28">
      <x:c r="B139" s="15" t="e">
        <x:f>IF(ISBLANK(INDIRECT(ADDRESS(ROW(),3))),"",ROW() - 6 + 'Доходы и расходы за 2 квартал'!$Z$2)</x:f>
        <x:v>#NAME?</x:v>
      </x:c>
      <x:c r="C139" s="44" t="s">
        <x:v>655</x:v>
      </x:c>
      <x:c r="D139" s="45" t="s">
        <x:v>656</x:v>
      </x:c>
      <x:c r="E139" s="46" t="s">
        <x:v>40</x:v>
      </x:c>
      <x:c r="F139" s="46">
        <x:v>2947.16</x:v>
      </x:c>
    </x:row>
    <x:row r="140" spans="1:28">
      <x:c r="B140" s="15" t="e">
        <x:f>IF(ISBLANK(INDIRECT(ADDRESS(ROW(),3))),"",ROW() - 6 + 'Доходы и расходы за 2 квартал'!$Z$2)</x:f>
        <x:v>#NAME?</x:v>
      </x:c>
      <x:c r="C140" s="44" t="s">
        <x:v>655</x:v>
      </x:c>
      <x:c r="D140" s="45" t="s">
        <x:v>657</x:v>
      </x:c>
      <x:c r="E140" s="46" t="s">
        <x:v>40</x:v>
      </x:c>
      <x:c r="F140" s="46">
        <x:v>4143</x:v>
      </x:c>
    </x:row>
    <x:row r="141" spans="1:28">
      <x:c r="B141" s="15" t="e">
        <x:f>IF(ISBLANK(INDIRECT(ADDRESS(ROW(),3))),"",ROW() - 6 + 'Доходы и расходы за 2 квартал'!$Z$2)</x:f>
        <x:v>#NAME?</x:v>
      </x:c>
      <x:c r="C141" s="44" t="s">
        <x:v>658</x:v>
      </x:c>
      <x:c r="D141" s="45" t="s">
        <x:v>659</x:v>
      </x:c>
      <x:c r="E141" s="46" t="s">
        <x:v>40</x:v>
      </x:c>
      <x:c r="F141" s="46">
        <x:v>3884.87</x:v>
      </x:c>
    </x:row>
    <x:row r="142" spans="1:28">
      <x:c r="B142" s="15" t="e">
        <x:f>IF(ISBLANK(INDIRECT(ADDRESS(ROW(),3))),"",ROW() - 6 + 'Доходы и расходы за 2 квартал'!$Z$2)</x:f>
        <x:v>#NAME?</x:v>
      </x:c>
      <x:c r="C142" s="44" t="s">
        <x:v>660</x:v>
      </x:c>
      <x:c r="D142" s="45" t="s">
        <x:v>661</x:v>
      </x:c>
      <x:c r="E142" s="46" t="s">
        <x:v>40</x:v>
      </x:c>
      <x:c r="F142" s="46">
        <x:v>3404.04</x:v>
      </x:c>
    </x:row>
    <x:row r="143" spans="1:28">
      <x:c r="B143" s="15" t="e">
        <x:f>IF(ISBLANK(INDIRECT(ADDRESS(ROW(),3))),"",ROW() - 6 + 'Доходы и расходы за 2 квартал'!$Z$2)</x:f>
        <x:v>#NAME?</x:v>
      </x:c>
      <x:c r="C143" s="44" t="s">
        <x:v>658</x:v>
      </x:c>
      <x:c r="D143" s="45" t="s">
        <x:v>662</x:v>
      </x:c>
      <x:c r="E143" s="46" t="s">
        <x:v>40</x:v>
      </x:c>
      <x:c r="F143" s="46">
        <x:v>11963</x:v>
      </x:c>
    </x:row>
    <x:row r="144" spans="1:28">
      <x:c r="B144" s="15" t="e">
        <x:f>IF(ISBLANK(INDIRECT(ADDRESS(ROW(),3))),"",ROW() - 6 + 'Доходы и расходы за 2 квартал'!$Z$2)</x:f>
        <x:v>#NAME?</x:v>
      </x:c>
      <x:c r="C144" s="44" t="s">
        <x:v>663</x:v>
      </x:c>
      <x:c r="D144" s="45" t="s">
        <x:v>664</x:v>
      </x:c>
      <x:c r="E144" s="46">
        <x:v>3467.4</x:v>
      </x:c>
      <x:c r="F144" s="46" t="s">
        <x:v>40</x:v>
      </x:c>
    </x:row>
    <x:row r="145" spans="1:28">
      <x:c r="B145" s="15" t="e">
        <x:f>IF(ISBLANK(INDIRECT(ADDRESS(ROW(),3))),"",ROW() - 6 + 'Доходы и расходы за 2 квартал'!$Z$2)</x:f>
        <x:v>#NAME?</x:v>
      </x:c>
      <x:c r="C145" s="44" t="s">
        <x:v>665</x:v>
      </x:c>
      <x:c r="D145" s="45" t="s">
        <x:v>666</x:v>
      </x:c>
      <x:c r="E145" s="46" t="s">
        <x:v>40</x:v>
      </x:c>
      <x:c r="F145" s="46">
        <x:v>21600</x:v>
      </x:c>
    </x:row>
    <x:row r="146" spans="1:28">
      <x:c r="B146" s="15" t="e">
        <x:f>IF(ISBLANK(INDIRECT(ADDRESS(ROW(),3))),"",ROW() - 6 + 'Доходы и расходы за 2 квартал'!$Z$2)</x:f>
        <x:v>#NAME?</x:v>
      </x:c>
      <x:c r="C146" s="44" t="s">
        <x:v>667</x:v>
      </x:c>
      <x:c r="D146" s="45" t="s">
        <x:v>668</x:v>
      </x:c>
      <x:c r="E146" s="46" t="s">
        <x:v>40</x:v>
      </x:c>
      <x:c r="F146" s="46">
        <x:v>2816.53</x:v>
      </x:c>
    </x:row>
    <x:row r="147" spans="1:28">
      <x:c r="B147" s="15" t="e">
        <x:f>IF(ISBLANK(INDIRECT(ADDRESS(ROW(),3))),"",ROW() - 6 + 'Доходы и расходы за 2 квартал'!$Z$2)</x:f>
        <x:v>#NAME?</x:v>
      </x:c>
      <x:c r="C147" s="44" t="s">
        <x:v>669</x:v>
      </x:c>
      <x:c r="D147" s="45" t="s">
        <x:v>670</x:v>
      </x:c>
      <x:c r="E147" s="46" t="s">
        <x:v>40</x:v>
      </x:c>
      <x:c r="F147" s="46">
        <x:v>134027.51</x:v>
      </x:c>
    </x:row>
    <x:row r="148" spans="1:28">
      <x:c r="B148" s="15" t="e">
        <x:f>IF(ISBLANK(INDIRECT(ADDRESS(ROW(),3))),"",ROW() - 6 + 'Доходы и расходы за 2 квартал'!$Z$2)</x:f>
        <x:v>#NAME?</x:v>
      </x:c>
      <x:c r="C148" s="44" t="s">
        <x:v>671</x:v>
      </x:c>
      <x:c r="D148" s="45" t="s">
        <x:v>672</x:v>
      </x:c>
      <x:c r="E148" s="46" t="s">
        <x:v>40</x:v>
      </x:c>
      <x:c r="F148" s="46">
        <x:v>7669.48</x:v>
      </x:c>
    </x:row>
    <x:row r="149" spans="1:28">
      <x:c r="B149" s="15" t="e">
        <x:f>IF(ISBLANK(INDIRECT(ADDRESS(ROW(),3))),"",ROW() - 6 + 'Доходы и расходы за 2 квартал'!$Z$2)</x:f>
        <x:v>#NAME?</x:v>
      </x:c>
      <x:c r="C149" s="44" t="s">
        <x:v>673</x:v>
      </x:c>
      <x:c r="D149" s="45" t="s">
        <x:v>674</x:v>
      </x:c>
      <x:c r="E149" s="46" t="s">
        <x:v>40</x:v>
      </x:c>
      <x:c r="F149" s="46">
        <x:v>47872</x:v>
      </x:c>
    </x:row>
    <x:row r="150" spans="1:28">
      <x:c r="B150" s="15" t="e">
        <x:f>IF(ISBLANK(INDIRECT(ADDRESS(ROW(),3))),"",ROW() - 6 + 'Доходы и расходы за 2 квартал'!$Z$2)</x:f>
        <x:v>#NAME?</x:v>
      </x:c>
      <x:c r="C150" s="44" t="s">
        <x:v>675</x:v>
      </x:c>
      <x:c r="D150" s="45" t="s">
        <x:v>676</x:v>
      </x:c>
      <x:c r="E150" s="46" t="s">
        <x:v>40</x:v>
      </x:c>
      <x:c r="F150" s="46">
        <x:v>576.85</x:v>
      </x:c>
    </x:row>
    <x:row r="151" spans="1:28">
      <x:c r="B151" s="15" t="e">
        <x:f>IF(ISBLANK(INDIRECT(ADDRESS(ROW(),3))),"",ROW() - 6 + 'Доходы и расходы за 2 квартал'!$Z$2)</x:f>
        <x:v>#NAME?</x:v>
      </x:c>
      <x:c r="C151" s="44" t="s">
        <x:v>677</x:v>
      </x:c>
      <x:c r="D151" s="45" t="s">
        <x:v>678</x:v>
      </x:c>
      <x:c r="E151" s="46" t="s">
        <x:v>40</x:v>
      </x:c>
      <x:c r="F151" s="46">
        <x:v>10637.07</x:v>
      </x:c>
    </x:row>
    <x:row r="152" spans="1:28">
      <x:c r="B152" s="15" t="e">
        <x:f>IF(ISBLANK(INDIRECT(ADDRESS(ROW(),3))),"",ROW() - 6 + 'Доходы и расходы за 2 квартал'!$Z$2)</x:f>
        <x:v>#NAME?</x:v>
      </x:c>
      <x:c r="C152" s="44" t="s">
        <x:v>679</x:v>
      </x:c>
      <x:c r="D152" s="45" t="s">
        <x:v>680</x:v>
      </x:c>
      <x:c r="E152" s="46" t="s">
        <x:v>40</x:v>
      </x:c>
      <x:c r="F152" s="46">
        <x:v>17436.58</x:v>
      </x:c>
    </x:row>
    <x:row r="153" spans="1:28">
      <x:c r="B153" s="15" t="e">
        <x:f>IF(ISBLANK(INDIRECT(ADDRESS(ROW(),3))),"",ROW() - 6 + 'Доходы и расходы за 2 квартал'!$Z$2)</x:f>
        <x:v>#NAME?</x:v>
      </x:c>
      <x:c r="C153" s="44" t="s">
        <x:v>681</x:v>
      </x:c>
      <x:c r="D153" s="45" t="s">
        <x:v>682</x:v>
      </x:c>
      <x:c r="E153" s="46" t="s">
        <x:v>40</x:v>
      </x:c>
      <x:c r="F153" s="46">
        <x:v>25156.15</x:v>
      </x:c>
    </x:row>
    <x:row r="154" spans="1:28">
      <x:c r="B154" s="15" t="e">
        <x:f>IF(ISBLANK(INDIRECT(ADDRESS(ROW(),3))),"",ROW() - 6 + 'Доходы и расходы за 2 квартал'!$Z$2)</x:f>
        <x:v>#NAME?</x:v>
      </x:c>
      <x:c r="C154" s="44" t="s">
        <x:v>683</x:v>
      </x:c>
      <x:c r="D154" s="45" t="s">
        <x:v>684</x:v>
      </x:c>
      <x:c r="E154" s="46" t="s">
        <x:v>40</x:v>
      </x:c>
      <x:c r="F154" s="46">
        <x:v>280.8</x:v>
      </x:c>
    </x:row>
    <x:row r="155" spans="1:28">
      <x:c r="B155" s="15" t="e">
        <x:f>IF(ISBLANK(INDIRECT(ADDRESS(ROW(),3))),"",ROW() - 6 + 'Доходы и расходы за 2 квартал'!$Z$2)</x:f>
        <x:v>#NAME?</x:v>
      </x:c>
      <x:c r="C155" s="44" t="s">
        <x:v>685</x:v>
      </x:c>
      <x:c r="D155" s="45" t="s">
        <x:v>686</x:v>
      </x:c>
      <x:c r="E155" s="46">
        <x:v>201798.22</x:v>
      </x:c>
      <x:c r="F155" s="46" t="s">
        <x:v>40</x:v>
      </x:c>
    </x:row>
    <x:row r="156" spans="1:28">
      <x:c r="B156" s="15" t="e">
        <x:f>IF(ISBLANK(INDIRECT(ADDRESS(ROW(),3))),"",ROW() - 6 + 'Доходы и расходы за 2 квартал'!$Z$2)</x:f>
        <x:v>#NAME?</x:v>
      </x:c>
      <x:c r="C156" s="44" t="s">
        <x:v>687</x:v>
      </x:c>
      <x:c r="D156" s="45" t="s">
        <x:v>688</x:v>
      </x:c>
      <x:c r="E156" s="46" t="s">
        <x:v>40</x:v>
      </x:c>
      <x:c r="F156" s="46">
        <x:v>3152.97</x:v>
      </x:c>
    </x:row>
    <x:row r="157" spans="1:28">
      <x:c r="B157" s="15" t="e">
        <x:f>IF(ISBLANK(INDIRECT(ADDRESS(ROW(),3))),"",ROW() - 6 + 'Доходы и расходы за 2 квартал'!$Z$2)</x:f>
        <x:v>#NAME?</x:v>
      </x:c>
      <x:c r="C157" s="44" t="s">
        <x:v>689</x:v>
      </x:c>
      <x:c r="D157" s="45" t="s">
        <x:v>690</x:v>
      </x:c>
      <x:c r="E157" s="46" t="s">
        <x:v>40</x:v>
      </x:c>
      <x:c r="F157" s="46">
        <x:v>1596.38</x:v>
      </x:c>
    </x:row>
    <x:row r="158" spans="1:28">
      <x:c r="B158" s="15" t="e">
        <x:f>IF(ISBLANK(INDIRECT(ADDRESS(ROW(),3))),"",ROW() - 6 + 'Доходы и расходы за 2 квартал'!$Z$2)</x:f>
        <x:v>#NAME?</x:v>
      </x:c>
      <x:c r="C158" s="44" t="s">
        <x:v>691</x:v>
      </x:c>
      <x:c r="D158" s="45" t="s">
        <x:v>692</x:v>
      </x:c>
      <x:c r="E158" s="46" t="s">
        <x:v>40</x:v>
      </x:c>
      <x:c r="F158" s="46">
        <x:v>3554.69</x:v>
      </x:c>
    </x:row>
    <x:row r="159" spans="1:28">
      <x:c r="B159" s="15" t="e">
        <x:f>IF(ISBLANK(INDIRECT(ADDRESS(ROW(),3))),"",ROW() - 6 + 'Доходы и расходы за 2 квартал'!$Z$2)</x:f>
        <x:v>#NAME?</x:v>
      </x:c>
      <x:c r="C159" s="44" t="s">
        <x:v>693</x:v>
      </x:c>
      <x:c r="D159" s="45" t="s">
        <x:v>694</x:v>
      </x:c>
      <x:c r="E159" s="46" t="s">
        <x:v>40</x:v>
      </x:c>
      <x:c r="F159" s="46">
        <x:v>49448.11</x:v>
      </x:c>
    </x:row>
    <x:row r="160" spans="1:28">
      <x:c r="B160" s="15" t="e">
        <x:f>IF(ISBLANK(INDIRECT(ADDRESS(ROW(),3))),"",ROW() - 6 + 'Доходы и расходы за 2 квартал'!$Z$2)</x:f>
        <x:v>#NAME?</x:v>
      </x:c>
      <x:c r="C160" s="44" t="s">
        <x:v>695</x:v>
      </x:c>
      <x:c r="D160" s="45" t="s">
        <x:v>696</x:v>
      </x:c>
      <x:c r="E160" s="46" t="s">
        <x:v>40</x:v>
      </x:c>
      <x:c r="F160" s="46">
        <x:v>6601.4</x:v>
      </x:c>
    </x:row>
    <x:row r="161" spans="1:28">
      <x:c r="B161" s="15" t="e">
        <x:f>IF(ISBLANK(INDIRECT(ADDRESS(ROW(),3))),"",ROW() - 6 + 'Доходы и расходы за 2 квартал'!$Z$2)</x:f>
        <x:v>#NAME?</x:v>
      </x:c>
      <x:c r="C161" s="44" t="s">
        <x:v>697</x:v>
      </x:c>
      <x:c r="D161" s="45" t="s">
        <x:v>698</x:v>
      </x:c>
      <x:c r="E161" s="46" t="s">
        <x:v>40</x:v>
      </x:c>
      <x:c r="F161" s="46">
        <x:v>9665.09</x:v>
      </x:c>
    </x:row>
    <x:row r="162" spans="1:28">
      <x:c r="B162" s="15" t="e">
        <x:f>IF(ISBLANK(INDIRECT(ADDRESS(ROW(),3))),"",ROW() - 6 + 'Доходы и расходы за 2 квартал'!$Z$2)</x:f>
        <x:v>#NAME?</x:v>
      </x:c>
      <x:c r="C162" s="44" t="s">
        <x:v>699</x:v>
      </x:c>
      <x:c r="D162" s="45" t="s">
        <x:v>700</x:v>
      </x:c>
      <x:c r="E162" s="46" t="s">
        <x:v>40</x:v>
      </x:c>
      <x:c r="F162" s="46">
        <x:v>14032.61</x:v>
      </x:c>
    </x:row>
    <x:row r="163" spans="1:28">
      <x:c r="B163" s="15" t="e">
        <x:f>IF(ISBLANK(INDIRECT(ADDRESS(ROW(),3))),"",ROW() - 6 + 'Доходы и расходы за 2 квартал'!$Z$2)</x:f>
        <x:v>#NAME?</x:v>
      </x:c>
      <x:c r="C163" s="44" t="s">
        <x:v>701</x:v>
      </x:c>
      <x:c r="D163" s="45" t="s">
        <x:v>586</x:v>
      </x:c>
      <x:c r="E163" s="46" t="s">
        <x:v>40</x:v>
      </x:c>
      <x:c r="F163" s="46">
        <x:v>25000</x:v>
      </x:c>
    </x:row>
    <x:row r="164" spans="1:28">
      <x:c r="B164" s="15" t="e">
        <x:f>IF(ISBLANK(INDIRECT(ADDRESS(ROW(),3))),"",ROW() - 6 + 'Доходы и расходы за 2 квартал'!$Z$2)</x:f>
        <x:v>#NAME?</x:v>
      </x:c>
      <x:c r="C164" s="44" t="s">
        <x:v>702</x:v>
      </x:c>
      <x:c r="D164" s="45" t="s">
        <x:v>703</x:v>
      </x:c>
      <x:c r="E164" s="46" t="s">
        <x:v>40</x:v>
      </x:c>
      <x:c r="F164" s="46">
        <x:v>696.7</x:v>
      </x:c>
    </x:row>
    <x:row r="165" spans="1:28">
      <x:c r="B165" s="15" t="e">
        <x:f>IF(ISBLANK(INDIRECT(ADDRESS(ROW(),3))),"",ROW() - 6 + 'Доходы и расходы за 2 квартал'!$Z$2)</x:f>
        <x:v>#NAME?</x:v>
      </x:c>
      <x:c r="C165" s="44" t="s">
        <x:v>704</x:v>
      </x:c>
      <x:c r="D165" s="45" t="s">
        <x:v>705</x:v>
      </x:c>
      <x:c r="E165" s="46">
        <x:v>135580.1</x:v>
      </x:c>
      <x:c r="F165" s="46" t="s">
        <x:v>40</x:v>
      </x:c>
    </x:row>
    <x:row r="166" spans="1:28">
      <x:c r="B166" s="15" t="e">
        <x:f>IF(ISBLANK(INDIRECT(ADDRESS(ROW(),3))),"",ROW() - 6 + 'Доходы и расходы за 2 квартал'!$Z$2)</x:f>
        <x:v>#NAME?</x:v>
      </x:c>
      <x:c r="C166" s="44" t="s">
        <x:v>706</x:v>
      </x:c>
      <x:c r="D166" s="45" t="s">
        <x:v>707</x:v>
      </x:c>
      <x:c r="E166" s="46" t="s">
        <x:v>40</x:v>
      </x:c>
      <x:c r="F166" s="46">
        <x:v>11199.76</x:v>
      </x:c>
    </x:row>
    <x:row r="167" spans="1:28">
      <x:c r="B167" s="15" t="e">
        <x:f>IF(ISBLANK(INDIRECT(ADDRESS(ROW(),3))),"",ROW() - 6 + 'Доходы и расходы за 2 квартал'!$Z$2)</x:f>
        <x:v>#NAME?</x:v>
      </x:c>
      <x:c r="C167" s="44" t="s">
        <x:v>708</x:v>
      </x:c>
      <x:c r="D167" s="45" t="s">
        <x:v>709</x:v>
      </x:c>
      <x:c r="E167" s="46">
        <x:v>3100.52</x:v>
      </x:c>
      <x:c r="F167" s="46" t="s">
        <x:v>40</x:v>
      </x:c>
    </x:row>
    <x:row r="168" spans="1:28">
      <x:c r="B168" s="15" t="e">
        <x:f>IF(ISBLANK(INDIRECT(ADDRESS(ROW(),3))),"",ROW() - 6 + 'Доходы и расходы за 2 квартал'!$Z$2)</x:f>
        <x:v>#NAME?</x:v>
      </x:c>
      <x:c r="C168" s="44" t="s">
        <x:v>710</x:v>
      </x:c>
      <x:c r="D168" s="45" t="s">
        <x:v>586</x:v>
      </x:c>
      <x:c r="E168" s="46" t="s">
        <x:v>40</x:v>
      </x:c>
      <x:c r="F168" s="46">
        <x:v>25000</x:v>
      </x:c>
    </x:row>
    <x:row r="169" spans="1:28">
      <x:c r="B169" s="15" t="e">
        <x:f>IF(ISBLANK(INDIRECT(ADDRESS(ROW(),3))),"",ROW() - 6 + 'Доходы и расходы за 2 квартал'!$Z$2)</x:f>
        <x:v>#NAME?</x:v>
      </x:c>
      <x:c r="C169" s="44" t="s">
        <x:v>711</x:v>
      </x:c>
      <x:c r="D169" s="45" t="s">
        <x:v>712</x:v>
      </x:c>
      <x:c r="E169" s="46" t="s">
        <x:v>40</x:v>
      </x:c>
      <x:c r="F169" s="46">
        <x:v>2961.33</x:v>
      </x:c>
    </x:row>
    <x:row r="170" spans="1:28">
      <x:c r="B170" s="15" t="e">
        <x:f>IF(ISBLANK(INDIRECT(ADDRESS(ROW(),3))),"",ROW() - 6 + 'Доходы и расходы за 2 квартал'!$Z$2)</x:f>
        <x:v>#NAME?</x:v>
      </x:c>
      <x:c r="C170" s="44" t="s">
        <x:v>713</x:v>
      </x:c>
      <x:c r="D170" s="45" t="s">
        <x:v>714</x:v>
      </x:c>
      <x:c r="E170" s="46" t="s">
        <x:v>40</x:v>
      </x:c>
      <x:c r="F170" s="46">
        <x:v>16233.97</x:v>
      </x:c>
    </x:row>
    <x:row r="171" spans="1:28">
      <x:c r="B171" s="15" t="e">
        <x:f>IF(ISBLANK(INDIRECT(ADDRESS(ROW(),3))),"",ROW() - 6 + 'Доходы и расходы за 2 квартал'!$Z$2)</x:f>
        <x:v>#NAME?</x:v>
      </x:c>
      <x:c r="C171" s="44" t="s">
        <x:v>715</x:v>
      </x:c>
      <x:c r="D171" s="45" t="s">
        <x:v>716</x:v>
      </x:c>
      <x:c r="E171" s="46" t="s">
        <x:v>40</x:v>
      </x:c>
      <x:c r="F171" s="46">
        <x:v>3037.25</x:v>
      </x:c>
    </x:row>
    <x:row r="172" spans="1:28">
      <x:c r="B172" s="15" t="e">
        <x:f>IF(ISBLANK(INDIRECT(ADDRESS(ROW(),3))),"",ROW() - 6 + 'Доходы и расходы за 2 квартал'!$Z$2)</x:f>
        <x:v>#NAME?</x:v>
      </x:c>
      <x:c r="C172" s="44" t="s">
        <x:v>717</x:v>
      </x:c>
      <x:c r="D172" s="45" t="s">
        <x:v>718</x:v>
      </x:c>
      <x:c r="E172" s="46" t="s">
        <x:v>40</x:v>
      </x:c>
      <x:c r="F172" s="46">
        <x:v>250.49</x:v>
      </x:c>
    </x:row>
    <x:row r="173" spans="1:28">
      <x:c r="B173" s="15" t="e">
        <x:f>IF(ISBLANK(INDIRECT(ADDRESS(ROW(),3))),"",ROW() - 6 + 'Доходы и расходы за 2 квартал'!$Z$2)</x:f>
        <x:v>#NAME?</x:v>
      </x:c>
      <x:c r="C173" s="44" t="s">
        <x:v>719</x:v>
      </x:c>
      <x:c r="D173" s="45" t="s">
        <x:v>720</x:v>
      </x:c>
      <x:c r="E173" s="46" t="s">
        <x:v>40</x:v>
      </x:c>
      <x:c r="F173" s="46">
        <x:v>27000</x:v>
      </x:c>
    </x:row>
    <x:row r="174" spans="1:28">
      <x:c r="B174" s="15" t="e">
        <x:f>IF(ISBLANK(INDIRECT(ADDRESS(ROW(),3))),"",ROW() - 6 + 'Доходы и расходы за 2 квартал'!$Z$2)</x:f>
        <x:v>#NAME?</x:v>
      </x:c>
      <x:c r="C174" s="44" t="s">
        <x:v>721</x:v>
      </x:c>
      <x:c r="D174" s="45" t="s">
        <x:v>722</x:v>
      </x:c>
      <x:c r="E174" s="46" t="s">
        <x:v>40</x:v>
      </x:c>
      <x:c r="F174" s="46">
        <x:v>4673.85</x:v>
      </x:c>
    </x:row>
    <x:row r="175" spans="1:28">
      <x:c r="B175" s="15" t="e">
        <x:f>IF(ISBLANK(INDIRECT(ADDRESS(ROW(),3))),"",ROW() - 6 + 'Доходы и расходы за 2 квартал'!$Z$2)</x:f>
        <x:v>#NAME?</x:v>
      </x:c>
      <x:c r="C175" s="44" t="s">
        <x:v>723</x:v>
      </x:c>
      <x:c r="D175" s="45" t="s">
        <x:v>724</x:v>
      </x:c>
      <x:c r="E175" s="46" t="s">
        <x:v>40</x:v>
      </x:c>
      <x:c r="F175" s="46">
        <x:v>1994.93</x:v>
      </x:c>
    </x:row>
    <x:row r="176" spans="1:28">
      <x:c r="B176" s="15" t="e">
        <x:f>IF(ISBLANK(INDIRECT(ADDRESS(ROW(),3))),"",ROW() - 6 + 'Доходы и расходы за 2 квартал'!$Z$2)</x:f>
        <x:v>#NAME?</x:v>
      </x:c>
      <x:c r="C176" s="44" t="s">
        <x:v>725</x:v>
      </x:c>
      <x:c r="D176" s="45" t="s">
        <x:v>726</x:v>
      </x:c>
      <x:c r="E176" s="46" t="s">
        <x:v>40</x:v>
      </x:c>
      <x:c r="F176" s="46">
        <x:v>17429</x:v>
      </x:c>
    </x:row>
    <x:row r="177" spans="1:28">
      <x:c r="B177" s="15" t="e">
        <x:f>IF(ISBLANK(INDIRECT(ADDRESS(ROW(),3))),"",ROW() - 6 + 'Доходы и расходы за 2 квартал'!$Z$2)</x:f>
        <x:v>#NAME?</x:v>
      </x:c>
      <x:c r="C177" s="44" t="s">
        <x:v>727</x:v>
      </x:c>
      <x:c r="D177" s="45" t="s">
        <x:v>728</x:v>
      </x:c>
      <x:c r="E177" s="46" t="s">
        <x:v>40</x:v>
      </x:c>
      <x:c r="F177" s="46">
        <x:v>3891.8</x:v>
      </x:c>
    </x:row>
    <x:row r="178" spans="1:28">
      <x:c r="B178" s="15" t="e">
        <x:f>IF(ISBLANK(INDIRECT(ADDRESS(ROW(),3))),"",ROW() - 6 + 'Доходы и расходы за 2 квартал'!$Z$2)</x:f>
        <x:v>#NAME?</x:v>
      </x:c>
      <x:c r="C178" s="44" t="s">
        <x:v>729</x:v>
      </x:c>
      <x:c r="D178" s="45" t="s">
        <x:v>730</x:v>
      </x:c>
      <x:c r="E178" s="46" t="s">
        <x:v>40</x:v>
      </x:c>
      <x:c r="F178" s="46">
        <x:v>16799.03</x:v>
      </x:c>
    </x:row>
    <x:row r="179" spans="1:28">
      <x:c r="B179" s="15" t="e">
        <x:f>IF(ISBLANK(INDIRECT(ADDRESS(ROW(),3))),"",ROW() - 6 + 'Доходы и расходы за 2 квартал'!$Z$2)</x:f>
        <x:v>#NAME?</x:v>
      </x:c>
      <x:c r="C179" s="44" t="s">
        <x:v>731</x:v>
      </x:c>
      <x:c r="D179" s="45" t="s">
        <x:v>561</x:v>
      </x:c>
      <x:c r="E179" s="46" t="s">
        <x:v>40</x:v>
      </x:c>
      <x:c r="F179" s="46">
        <x:v>50000</x:v>
      </x:c>
    </x:row>
    <x:row r="180" spans="1:28">
      <x:c r="B180" s="15" t="e">
        <x:f>IF(ISBLANK(INDIRECT(ADDRESS(ROW(),3))),"",ROW() - 6 + 'Доходы и расходы за 2 квартал'!$Z$2)</x:f>
        <x:v>#NAME?</x:v>
      </x:c>
      <x:c r="C180" s="44" t="s">
        <x:v>732</x:v>
      </x:c>
      <x:c r="D180" s="45" t="s">
        <x:v>733</x:v>
      </x:c>
      <x:c r="E180" s="46" t="s">
        <x:v>40</x:v>
      </x:c>
      <x:c r="F180" s="46">
        <x:v>2950</x:v>
      </x:c>
    </x:row>
    <x:row r="181" spans="1:28">
      <x:c r="B181" s="15" t="e">
        <x:f>IF(ISBLANK(INDIRECT(ADDRESS(ROW(),3))),"",ROW() - 6 + 'Доходы и расходы за 2 квартал'!$Z$2)</x:f>
        <x:v>#NAME?</x:v>
      </x:c>
      <x:c r="C181" s="44" t="s">
        <x:v>734</x:v>
      </x:c>
      <x:c r="D181" s="45" t="s">
        <x:v>735</x:v>
      </x:c>
      <x:c r="E181" s="46" t="s">
        <x:v>40</x:v>
      </x:c>
      <x:c r="F181" s="46">
        <x:v>2639.51</x:v>
      </x:c>
    </x:row>
    <x:row r="182" spans="1:28">
      <x:c r="B182" s="15" t="e">
        <x:f>IF(ISBLANK(INDIRECT(ADDRESS(ROW(),3))),"",ROW() - 6 + 'Доходы и расходы за 2 квартал'!$Z$2)</x:f>
        <x:v>#NAME?</x:v>
      </x:c>
      <x:c r="C182" s="44" t="s">
        <x:v>736</x:v>
      </x:c>
      <x:c r="D182" s="45" t="s">
        <x:v>737</x:v>
      </x:c>
      <x:c r="E182" s="46" t="s">
        <x:v>40</x:v>
      </x:c>
      <x:c r="F182" s="46">
        <x:v>8700</x:v>
      </x:c>
    </x:row>
    <x:row r="183" spans="1:28">
      <x:c r="B183" s="15" t="e">
        <x:f>IF(ISBLANK(INDIRECT(ADDRESS(ROW(),3))),"",ROW() - 6 + 'Доходы и расходы за 2 квартал'!$Z$2)</x:f>
        <x:v>#NAME?</x:v>
      </x:c>
      <x:c r="C183" s="44" t="s">
        <x:v>738</x:v>
      </x:c>
      <x:c r="D183" s="45" t="s">
        <x:v>739</x:v>
      </x:c>
      <x:c r="E183" s="46" t="s">
        <x:v>40</x:v>
      </x:c>
      <x:c r="F183" s="46">
        <x:v>11962</x:v>
      </x:c>
    </x:row>
    <x:row r="184" spans="1:28">
      <x:c r="B184" s="15" t="e">
        <x:f>IF(ISBLANK(INDIRECT(ADDRESS(ROW(),3))),"",ROW() - 6 + 'Доходы и расходы за 2 квартал'!$Z$2)</x:f>
        <x:v>#NAME?</x:v>
      </x:c>
      <x:c r="C184" s="44" t="s">
        <x:v>740</x:v>
      </x:c>
      <x:c r="D184" s="45" t="s">
        <x:v>741</x:v>
      </x:c>
      <x:c r="E184" s="46" t="s">
        <x:v>40</x:v>
      </x:c>
      <x:c r="F184" s="46">
        <x:v>204</x:v>
      </x:c>
    </x:row>
    <x:row r="185" spans="1:28">
      <x:c r="B185" s="15" t="e">
        <x:f>IF(ISBLANK(INDIRECT(ADDRESS(ROW(),3))),"",ROW() - 6 + 'Доходы и расходы за 2 квартал'!$Z$2)</x:f>
        <x:v>#NAME?</x:v>
      </x:c>
      <x:c r="C185" s="44" t="s">
        <x:v>742</x:v>
      </x:c>
      <x:c r="D185" s="45" t="s">
        <x:v>93</x:v>
      </x:c>
      <x:c r="E185" s="46" t="s">
        <x:v>40</x:v>
      </x:c>
      <x:c r="F185" s="46">
        <x:v>2406</x:v>
      </x:c>
    </x:row>
    <x:row r="186" spans="1:28">
      <x:c r="B186" s="15" t="e">
        <x:f>IF(ISBLANK(INDIRECT(ADDRESS(ROW(),3))),"",ROW() - 6 + 'Доходы и расходы за 2 квартал'!$Z$2)</x:f>
        <x:v>#NAME?</x:v>
      </x:c>
      <x:c r="C186" s="44" t="s">
        <x:v>743</x:v>
      </x:c>
      <x:c r="D186" s="45" t="s">
        <x:v>744</x:v>
      </x:c>
      <x:c r="E186" s="46" t="s">
        <x:v>40</x:v>
      </x:c>
      <x:c r="F186" s="46">
        <x:v>47872</x:v>
      </x:c>
    </x:row>
    <x:row r="187" spans="1:28">
      <x:c r="B187" s="15" t="e">
        <x:f>IF(ISBLANK(INDIRECT(ADDRESS(ROW(),3))),"",ROW() - 6 + 'Доходы и расходы за 2 квартал'!$Z$2)</x:f>
        <x:v>#NAME?</x:v>
      </x:c>
      <x:c r="C187" s="44" t="s">
        <x:v>745</x:v>
      </x:c>
      <x:c r="D187" s="45" t="s">
        <x:v>586</x:v>
      </x:c>
      <x:c r="E187" s="46" t="s">
        <x:v>40</x:v>
      </x:c>
      <x:c r="F187" s="46">
        <x:v>25000</x:v>
      </x:c>
    </x:row>
    <x:row r="188" spans="1:28">
      <x:c r="B188" s="15" t="e">
        <x:f>IF(ISBLANK(INDIRECT(ADDRESS(ROW(),3))),"",ROW() - 6 + 'Доходы и расходы за 2 квартал'!$Z$2)</x:f>
        <x:v>#NAME?</x:v>
      </x:c>
      <x:c r="C188" s="44" t="s">
        <x:v>746</x:v>
      </x:c>
      <x:c r="D188" s="45" t="s">
        <x:v>747</x:v>
      </x:c>
      <x:c r="E188" s="46" t="s">
        <x:v>40</x:v>
      </x:c>
      <x:c r="F188" s="46">
        <x:v>3119.91</x:v>
      </x:c>
    </x:row>
    <x:row r="189" spans="1:28">
      <x:c r="B189" s="15" t="e">
        <x:f>IF(ISBLANK(INDIRECT(ADDRESS(ROW(),3))),"",ROW() - 6 + 'Доходы и расходы за 2 квартал'!$Z$2)</x:f>
        <x:v>#NAME?</x:v>
      </x:c>
      <x:c r="C189" s="44" t="s">
        <x:v>748</x:v>
      </x:c>
      <x:c r="D189" s="45" t="s">
        <x:v>749</x:v>
      </x:c>
      <x:c r="E189" s="46" t="s">
        <x:v>40</x:v>
      </x:c>
      <x:c r="F189" s="46">
        <x:v>198572.76</x:v>
      </x:c>
    </x:row>
    <x:row r="190" spans="1:28">
      <x:c r="B190" s="15" t="e">
        <x:f>IF(ISBLANK(INDIRECT(ADDRESS(ROW(),3))),"",ROW() - 6 + 'Доходы и расходы за 2 квартал'!$Z$2)</x:f>
        <x:v>#NAME?</x:v>
      </x:c>
      <x:c r="C190" s="44" t="s">
        <x:v>750</x:v>
      </x:c>
      <x:c r="D190" s="45" t="s">
        <x:v>751</x:v>
      </x:c>
      <x:c r="E190" s="46">
        <x:v>99041.33</x:v>
      </x:c>
      <x:c r="F190" s="46" t="s">
        <x:v>40</x:v>
      </x:c>
    </x:row>
    <x:row r="191" spans="1:28">
      <x:c r="B191" s="15" t="e">
        <x:f>IF(ISBLANK(INDIRECT(ADDRESS(ROW(),3))),"",ROW() - 6 + 'Доходы и расходы за 2 квартал'!$Z$2)</x:f>
        <x:v>#NAME?</x:v>
      </x:c>
      <x:c r="C191" s="44" t="s">
        <x:v>752</x:v>
      </x:c>
      <x:c r="D191" s="45" t="s">
        <x:v>753</x:v>
      </x:c>
      <x:c r="E191" s="46">
        <x:v>3476.22</x:v>
      </x:c>
      <x:c r="F191" s="46" t="s">
        <x:v>40</x:v>
      </x:c>
    </x:row>
    <x:row r="192" spans="1:28">
      <x:c r="B192" s="15" t="e">
        <x:f>IF(ISBLANK(INDIRECT(ADDRESS(ROW(),3))),"",ROW() - 6 + 'Доходы и расходы за 2 квартал'!$Z$2)</x:f>
        <x:v>#NAME?</x:v>
      </x:c>
      <x:c r="C192" s="44" t="s">
        <x:v>754</x:v>
      </x:c>
      <x:c r="D192" s="45" t="s">
        <x:v>755</x:v>
      </x:c>
      <x:c r="E192" s="46" t="s">
        <x:v>40</x:v>
      </x:c>
      <x:c r="F192" s="46">
        <x:v>17335.23</x:v>
      </x:c>
    </x:row>
    <x:row r="193" spans="1:28">
      <x:c r="B193" s="15" t="e">
        <x:f>IF(ISBLANK(INDIRECT(ADDRESS(ROW(),3))),"",ROW() - 6 + 'Доходы и расходы за 2 квартал'!$Z$2)</x:f>
        <x:v>#NAME?</x:v>
      </x:c>
      <x:c r="C193" s="44" t="s">
        <x:v>756</x:v>
      </x:c>
      <x:c r="D193" s="45" t="s">
        <x:v>757</x:v>
      </x:c>
      <x:c r="E193" s="46" t="s">
        <x:v>40</x:v>
      </x:c>
      <x:c r="F193" s="46">
        <x:v>5698.09</x:v>
      </x:c>
    </x:row>
    <x:row r="194" spans="1:28">
      <x:c r="B194" s="15" t="e">
        <x:f>IF(ISBLANK(INDIRECT(ADDRESS(ROW(),3))),"",ROW() - 6 + 'Доходы и расходы за 2 квартал'!$Z$2)</x:f>
        <x:v>#NAME?</x:v>
      </x:c>
      <x:c r="C194" s="44" t="s">
        <x:v>758</x:v>
      </x:c>
      <x:c r="D194" s="45" t="s">
        <x:v>759</x:v>
      </x:c>
      <x:c r="E194" s="46" t="s">
        <x:v>40</x:v>
      </x:c>
      <x:c r="F194" s="46">
        <x:v>7540.2</x:v>
      </x:c>
    </x:row>
    <x:row r="195" spans="1:28">
      <x:c r="B195" s="15" t="e">
        <x:f>IF(ISBLANK(INDIRECT(ADDRESS(ROW(),3))),"",ROW() - 6 + 'Доходы и расходы за 2 квартал'!$Z$2)</x:f>
        <x:v>#NAME?</x:v>
      </x:c>
      <x:c r="C195" s="44" t="s">
        <x:v>760</x:v>
      </x:c>
      <x:c r="D195" s="45" t="s">
        <x:v>561</x:v>
      </x:c>
      <x:c r="E195" s="46" t="s">
        <x:v>40</x:v>
      </x:c>
      <x:c r="F195" s="46">
        <x:v>50000</x:v>
      </x:c>
    </x:row>
    <x:row r="196" spans="1:28">
      <x:c r="B196" s="15" t="e">
        <x:f>IF(ISBLANK(INDIRECT(ADDRESS(ROW(),3))),"",ROW() - 6 + 'Доходы и расходы за 2 квартал'!$Z$2)</x:f>
        <x:v>#NAME?</x:v>
      </x:c>
      <x:c r="C196" s="44" t="s">
        <x:v>761</x:v>
      </x:c>
      <x:c r="D196" s="45" t="s">
        <x:v>762</x:v>
      </x:c>
      <x:c r="E196" s="46" t="s">
        <x:v>40</x:v>
      </x:c>
      <x:c r="F196" s="46">
        <x:v>9480.11</x:v>
      </x:c>
    </x:row>
    <x:row r="197" spans="1:28">
      <x:c r="B197" s="15" t="e">
        <x:f>IF(ISBLANK(INDIRECT(ADDRESS(ROW(),3))),"",ROW() - 6 + 'Доходы и расходы за 2 квартал'!$Z$2)</x:f>
        <x:v>#NAME?</x:v>
      </x:c>
      <x:c r="C197" s="44" t="s">
        <x:v>763</x:v>
      </x:c>
      <x:c r="D197" s="45" t="s">
        <x:v>561</x:v>
      </x:c>
      <x:c r="E197" s="46" t="s">
        <x:v>40</x:v>
      </x:c>
      <x:c r="F197" s="46">
        <x:v>50000</x:v>
      </x:c>
    </x:row>
    <x:row r="198" spans="1:28">
      <x:c r="B198" s="15" t="e">
        <x:f>IF(ISBLANK(INDIRECT(ADDRESS(ROW(),3))),"",ROW() - 6 + 'Доходы и расходы за 2 квартал'!$Z$2)</x:f>
        <x:v>#NAME?</x:v>
      </x:c>
      <x:c r="C198" s="44" t="s">
        <x:v>764</x:v>
      </x:c>
      <x:c r="D198" s="45" t="s">
        <x:v>765</x:v>
      </x:c>
      <x:c r="E198" s="46" t="s">
        <x:v>40</x:v>
      </x:c>
      <x:c r="F198" s="46">
        <x:v>29224.34</x:v>
      </x:c>
    </x:row>
    <x:row r="199" spans="1:28">
      <x:c r="B199" s="15" t="e">
        <x:f>IF(ISBLANK(INDIRECT(ADDRESS(ROW(),3))),"",ROW() - 6 + 'Доходы и расходы за 2 квартал'!$Z$2)</x:f>
        <x:v>#NAME?</x:v>
      </x:c>
      <x:c r="C199" s="44" t="s">
        <x:v>766</x:v>
      </x:c>
      <x:c r="D199" s="45" t="s">
        <x:v>767</x:v>
      </x:c>
      <x:c r="E199" s="46" t="s">
        <x:v>40</x:v>
      </x:c>
      <x:c r="F199" s="46">
        <x:v>8619.33</x:v>
      </x:c>
    </x:row>
    <x:row r="200" spans="1:28">
      <x:c r="B200" s="15" t="e">
        <x:f>IF(ISBLANK(INDIRECT(ADDRESS(ROW(),3))),"",ROW() - 6 + 'Доходы и расходы за 2 квартал'!$Z$2)</x:f>
        <x:v>#NAME?</x:v>
      </x:c>
      <x:c r="C200" s="44" t="s">
        <x:v>768</x:v>
      </x:c>
      <x:c r="D200" s="45" t="s">
        <x:v>769</x:v>
      </x:c>
      <x:c r="E200" s="46" t="s">
        <x:v>40</x:v>
      </x:c>
      <x:c r="F200" s="46">
        <x:v>452.98</x:v>
      </x:c>
    </x:row>
    <x:row r="201" spans="1:28">
      <x:c r="B201" s="15" t="e">
        <x:f>IF(ISBLANK(INDIRECT(ADDRESS(ROW(),3))),"",ROW() - 6 + 'Доходы и расходы за 2 квартал'!$Z$2)</x:f>
        <x:v>#NAME?</x:v>
      </x:c>
      <x:c r="C201" s="44" t="s">
        <x:v>770</x:v>
      </x:c>
      <x:c r="D201" s="45" t="s">
        <x:v>771</x:v>
      </x:c>
      <x:c r="E201" s="46" t="s">
        <x:v>40</x:v>
      </x:c>
      <x:c r="F201" s="46">
        <x:v>3314.48</x:v>
      </x:c>
    </x:row>
    <x:row r="202" spans="1:28">
      <x:c r="B202" s="15" t="e">
        <x:f>IF(ISBLANK(INDIRECT(ADDRESS(ROW(),3))),"",ROW() - 6 + 'Доходы и расходы за 2 квартал'!$Z$2)</x:f>
        <x:v>#NAME?</x:v>
      </x:c>
      <x:c r="C202" s="44" t="s">
        <x:v>772</x:v>
      </x:c>
      <x:c r="D202" s="45" t="s">
        <x:v>773</x:v>
      </x:c>
      <x:c r="E202" s="46" t="s">
        <x:v>40</x:v>
      </x:c>
      <x:c r="F202" s="46">
        <x:v>1890</x:v>
      </x:c>
    </x:row>
    <x:row r="203" spans="1:28">
      <x:c r="B203" s="15" t="e">
        <x:f>IF(ISBLANK(INDIRECT(ADDRESS(ROW(),3))),"",ROW() - 6 + 'Доходы и расходы за 2 квартал'!$Z$2)</x:f>
        <x:v>#NAME?</x:v>
      </x:c>
      <x:c r="C203" s="44" t="s">
        <x:v>774</x:v>
      </x:c>
      <x:c r="D203" s="45" t="s">
        <x:v>775</x:v>
      </x:c>
      <x:c r="E203" s="46" t="s">
        <x:v>40</x:v>
      </x:c>
      <x:c r="F203" s="46">
        <x:v>25443</x:v>
      </x:c>
    </x:row>
    <x:row r="204" spans="1:28">
      <x:c r="B204" s="15" t="e">
        <x:f>IF(ISBLANK(INDIRECT(ADDRESS(ROW(),3))),"",ROW() - 6 + 'Доходы и расходы за 2 квартал'!$Z$2)</x:f>
        <x:v>#NAME?</x:v>
      </x:c>
      <x:c r="C204" s="44" t="s">
        <x:v>776</x:v>
      </x:c>
      <x:c r="D204" s="45" t="s">
        <x:v>777</x:v>
      </x:c>
      <x:c r="E204" s="46">
        <x:v>179306.54</x:v>
      </x:c>
      <x:c r="F204" s="46" t="s">
        <x:v>40</x:v>
      </x:c>
    </x:row>
    <x:row r="205" spans="1:28">
      <x:c r="B205" s="15" t="e">
        <x:f>IF(ISBLANK(INDIRECT(ADDRESS(ROW(),3))),"",ROW() - 6 + 'Доходы и расходы за 2 квартал'!$Z$2)</x:f>
        <x:v>#NAME?</x:v>
      </x:c>
      <x:c r="C205" s="44" t="s">
        <x:v>778</x:v>
      </x:c>
      <x:c r="D205" s="45" t="s">
        <x:v>779</x:v>
      </x:c>
      <x:c r="E205" s="46" t="s">
        <x:v>40</x:v>
      </x:c>
      <x:c r="F205" s="46">
        <x:v>40409.63</x:v>
      </x:c>
    </x:row>
    <x:row r="206" spans="1:28">
      <x:c r="B206" s="15" t="e">
        <x:f>IF(ISBLANK(INDIRECT(ADDRESS(ROW(),3))),"",ROW() - 6 + 'Доходы и расходы за 2 квартал'!$Z$2)</x:f>
        <x:v>#NAME?</x:v>
      </x:c>
      <x:c r="C206" s="44" t="s">
        <x:v>780</x:v>
      </x:c>
      <x:c r="D206" s="45" t="s">
        <x:v>781</x:v>
      </x:c>
      <x:c r="E206" s="46" t="s">
        <x:v>40</x:v>
      </x:c>
      <x:c r="F206" s="46">
        <x:v>258</x:v>
      </x:c>
    </x:row>
    <x:row r="207" spans="1:28">
      <x:c r="B207" s="15" t="e">
        <x:f>IF(ISBLANK(INDIRECT(ADDRESS(ROW(),3))),"",ROW() - 6 + 'Доходы и расходы за 2 квартал'!$Z$2)</x:f>
        <x:v>#NAME?</x:v>
      </x:c>
      <x:c r="C207" s="44" t="s">
        <x:v>782</x:v>
      </x:c>
      <x:c r="D207" s="45" t="s">
        <x:v>783</x:v>
      </x:c>
      <x:c r="E207" s="46" t="s">
        <x:v>40</x:v>
      </x:c>
      <x:c r="F207" s="46">
        <x:v>27326</x:v>
      </x:c>
    </x:row>
    <x:row r="208" spans="1:28">
      <x:c r="B208" s="15" t="e">
        <x:f>IF(ISBLANK(INDIRECT(ADDRESS(ROW(),3))),"",ROW() - 6 + 'Доходы и расходы за 2 квартал'!$Z$2)</x:f>
        <x:v>#NAME?</x:v>
      </x:c>
      <x:c r="C208" s="44" t="s">
        <x:v>784</x:v>
      </x:c>
      <x:c r="D208" s="45" t="s">
        <x:v>785</x:v>
      </x:c>
      <x:c r="E208" s="46" t="s">
        <x:v>40</x:v>
      </x:c>
      <x:c r="F208" s="46">
        <x:v>195358.96</x:v>
      </x:c>
    </x:row>
    <x:row r="209" spans="1:28">
      <x:c r="B209" s="15" t="e">
        <x:f>IF(ISBLANK(INDIRECT(ADDRESS(ROW(),3))),"",ROW() - 6 + 'Доходы и расходы за 2 квартал'!$Z$2)</x:f>
        <x:v>#NAME?</x:v>
      </x:c>
      <x:c r="C209" s="44" t="s">
        <x:v>786</x:v>
      </x:c>
      <x:c r="D209" s="45" t="s">
        <x:v>787</x:v>
      </x:c>
      <x:c r="E209" s="46" t="s">
        <x:v>40</x:v>
      </x:c>
      <x:c r="F209" s="46">
        <x:v>156</x:v>
      </x:c>
    </x:row>
    <x:row r="210" spans="1:28">
      <x:c r="B210" s="15" t="e">
        <x:f>IF(ISBLANK(INDIRECT(ADDRESS(ROW(),3))),"",ROW() - 6 + 'Доходы и расходы за 2 квартал'!$Z$2)</x:f>
        <x:v>#NAME?</x:v>
      </x:c>
      <x:c r="C210" s="44" t="s">
        <x:v>788</x:v>
      </x:c>
      <x:c r="D210" s="45" t="s">
        <x:v>789</x:v>
      </x:c>
      <x:c r="E210" s="46" t="s">
        <x:v>40</x:v>
      </x:c>
      <x:c r="F210" s="46">
        <x:v>449</x:v>
      </x:c>
    </x:row>
    <x:row r="211" spans="1:28">
      <x:c r="B211" s="15" t="e">
        <x:f>IF(ISBLANK(INDIRECT(ADDRESS(ROW(),3))),"",ROW() - 6 + 'Доходы и расходы за 2 квартал'!$Z$2)</x:f>
        <x:v>#NAME?</x:v>
      </x:c>
      <x:c r="C211" s="44" t="s">
        <x:v>790</x:v>
      </x:c>
      <x:c r="D211" s="45" t="s">
        <x:v>561</x:v>
      </x:c>
      <x:c r="E211" s="46" t="s">
        <x:v>40</x:v>
      </x:c>
      <x:c r="F211" s="46">
        <x:v>50000</x:v>
      </x:c>
    </x:row>
    <x:row r="212" spans="1:28">
      <x:c r="B212" s="15" t="e">
        <x:f>IF(ISBLANK(INDIRECT(ADDRESS(ROW(),3))),"",ROW() - 6 + 'Доходы и расходы за 2 квартал'!$Z$2)</x:f>
        <x:v>#NAME?</x:v>
      </x:c>
      <x:c r="C212" s="44" t="s">
        <x:v>791</x:v>
      </x:c>
      <x:c r="D212" s="45" t="s">
        <x:v>792</x:v>
      </x:c>
      <x:c r="E212" s="46" t="s">
        <x:v>40</x:v>
      </x:c>
      <x:c r="F212" s="46">
        <x:v>12723.25</x:v>
      </x:c>
    </x:row>
    <x:row r="213" spans="1:28">
      <x:c r="B213" s="15" t="e">
        <x:f>IF(ISBLANK(INDIRECT(ADDRESS(ROW(),3))),"",ROW() - 6 + 'Доходы и расходы за 2 квартал'!$Z$2)</x:f>
        <x:v>#NAME?</x:v>
      </x:c>
      <x:c r="C213" s="44" t="s">
        <x:v>793</x:v>
      </x:c>
      <x:c r="D213" s="45" t="s">
        <x:v>794</x:v>
      </x:c>
      <x:c r="E213" s="46" t="s">
        <x:v>40</x:v>
      </x:c>
      <x:c r="F213" s="46">
        <x:v>28529.62</x:v>
      </x:c>
    </x:row>
    <x:row r="214" spans="1:28">
      <x:c r="B214" s="15" t="e">
        <x:f>IF(ISBLANK(INDIRECT(ADDRESS(ROW(),3))),"",ROW() - 6 + 'Доходы и расходы за 2 квартал'!$Z$2)</x:f>
        <x:v>#NAME?</x:v>
      </x:c>
      <x:c r="C214" s="44" t="s">
        <x:v>795</x:v>
      </x:c>
      <x:c r="D214" s="45" t="s">
        <x:v>91</x:v>
      </x:c>
      <x:c r="E214" s="46" t="s">
        <x:v>40</x:v>
      </x:c>
      <x:c r="F214" s="46">
        <x:v>11107.14</x:v>
      </x:c>
    </x:row>
    <x:row r="215" spans="1:28">
      <x:c r="B215" s="15" t="e">
        <x:f>IF(ISBLANK(INDIRECT(ADDRESS(ROW(),3))),"",ROW() - 6 + 'Доходы и расходы за 2 квартал'!$Z$2)</x:f>
        <x:v>#NAME?</x:v>
      </x:c>
      <x:c r="C215" s="44" t="s">
        <x:v>796</x:v>
      </x:c>
      <x:c r="D215" s="45" t="s">
        <x:v>93</x:v>
      </x:c>
      <x:c r="E215" s="46" t="s">
        <x:v>40</x:v>
      </x:c>
      <x:c r="F215" s="46">
        <x:v>2919</x:v>
      </x:c>
    </x:row>
    <x:row r="216" spans="1:28">
      <x:c r="B216" s="15" t="e">
        <x:f>IF(ISBLANK(INDIRECT(ADDRESS(ROW(),3))),"",ROW() - 6 + 'Доходы и расходы за 2 квартал'!$Z$2)</x:f>
        <x:v>#NAME?</x:v>
      </x:c>
      <x:c r="C216" s="44" t="s">
        <x:v>797</x:v>
      </x:c>
      <x:c r="D216" s="45" t="s">
        <x:v>798</x:v>
      </x:c>
      <x:c r="E216" s="46">
        <x:v>5133.06</x:v>
      </x:c>
      <x:c r="F216" s="46" t="s">
        <x:v>40</x:v>
      </x:c>
    </x:row>
    <x:row r="217" spans="1:28">
      <x:c r="B217" s="15" t="e">
        <x:f>IF(ISBLANK(INDIRECT(ADDRESS(ROW(),3))),"",ROW() - 6 + 'Доходы и расходы за 2 квартал'!$Z$2)</x:f>
        <x:v>#NAME?</x:v>
      </x:c>
      <x:c r="C217" s="44" t="s">
        <x:v>799</x:v>
      </x:c>
      <x:c r="D217" s="45" t="s">
        <x:v>800</x:v>
      </x:c>
      <x:c r="E217" s="46" t="s">
        <x:v>40</x:v>
      </x:c>
      <x:c r="F217" s="46">
        <x:v>18076.46</x:v>
      </x:c>
    </x:row>
    <x:row r="218" spans="1:28">
      <x:c r="B218" s="15" t="e">
        <x:f>IF(ISBLANK(INDIRECT(ADDRESS(ROW(),3))),"",ROW() - 6 + 'Доходы и расходы за 2 квартал'!$Z$2)</x:f>
        <x:v>#NAME?</x:v>
      </x:c>
      <x:c r="C218" s="44" t="s">
        <x:v>801</x:v>
      </x:c>
      <x:c r="D218" s="45" t="s">
        <x:v>802</x:v>
      </x:c>
      <x:c r="E218" s="46" t="s">
        <x:v>40</x:v>
      </x:c>
      <x:c r="F218" s="46">
        <x:v>11963</x:v>
      </x:c>
    </x:row>
    <x:row r="219" spans="1:28">
      <x:c r="B219" s="15" t="e">
        <x:f>IF(ISBLANK(INDIRECT(ADDRESS(ROW(),3))),"",ROW() - 6 + 'Доходы и расходы за 2 квартал'!$Z$2)</x:f>
        <x:v>#NAME?</x:v>
      </x:c>
      <x:c r="C219" s="44" t="s">
        <x:v>803</x:v>
      </x:c>
      <x:c r="D219" s="45" t="s">
        <x:v>804</x:v>
      </x:c>
      <x:c r="E219" s="46" t="s">
        <x:v>40</x:v>
      </x:c>
      <x:c r="F219" s="46">
        <x:v>49448.11</x:v>
      </x:c>
    </x:row>
    <x:row r="220" spans="1:28">
      <x:c r="B220" s="15" t="e">
        <x:f>IF(ISBLANK(INDIRECT(ADDRESS(ROW(),3))),"",ROW() - 6 + 'Доходы и расходы за 2 квартал'!$Z$2)</x:f>
        <x:v>#NAME?</x:v>
      </x:c>
      <x:c r="C220" s="44" t="s">
        <x:v>801</x:v>
      </x:c>
      <x:c r="D220" s="45" t="s">
        <x:v>805</x:v>
      </x:c>
      <x:c r="E220" s="46" t="s">
        <x:v>40</x:v>
      </x:c>
      <x:c r="F220" s="46">
        <x:v>2107.42</x:v>
      </x:c>
    </x:row>
    <x:row r="221" spans="1:28">
      <x:c r="B221" s="15" t="e">
        <x:f>IF(ISBLANK(INDIRECT(ADDRESS(ROW(),3))),"",ROW() - 6 + 'Доходы и расходы за 2 квартал'!$Z$2)</x:f>
        <x:v>#NAME?</x:v>
      </x:c>
      <x:c r="C221" s="44" t="s">
        <x:v>799</x:v>
      </x:c>
      <x:c r="D221" s="45" t="s">
        <x:v>806</x:v>
      </x:c>
      <x:c r="E221" s="46" t="s">
        <x:v>40</x:v>
      </x:c>
      <x:c r="F221" s="46">
        <x:v>75</x:v>
      </x:c>
    </x:row>
    <x:row r="222" spans="1:28">
      <x:c r="B222" s="15" t="e">
        <x:f>IF(ISBLANK(INDIRECT(ADDRESS(ROW(),3))),"",ROW() - 6 + 'Доходы и расходы за 2 квартал'!$Z$2)</x:f>
        <x:v>#NAME?</x:v>
      </x:c>
      <x:c r="C222" s="44" t="s">
        <x:v>807</x:v>
      </x:c>
      <x:c r="D222" s="45" t="s">
        <x:v>808</x:v>
      </x:c>
      <x:c r="E222" s="46" t="s">
        <x:v>40</x:v>
      </x:c>
      <x:c r="F222" s="46">
        <x:v>21600</x:v>
      </x:c>
    </x:row>
    <x:row r="223" spans="1:28">
      <x:c r="B223" s="15" t="e">
        <x:f>IF(ISBLANK(INDIRECT(ADDRESS(ROW(),3))),"",ROW() - 6 + 'Доходы и расходы за 2 квартал'!$Z$2)</x:f>
        <x:v>#NAME?</x:v>
      </x:c>
      <x:c r="C223" s="44" t="s">
        <x:v>809</x:v>
      </x:c>
      <x:c r="D223" s="45" t="s">
        <x:v>810</x:v>
      </x:c>
      <x:c r="E223" s="46" t="s">
        <x:v>40</x:v>
      </x:c>
      <x:c r="F223" s="46">
        <x:v>273000</x:v>
      </x:c>
    </x:row>
    <x:row r="224" spans="1:28">
      <x:c r="B224" s="15" t="e">
        <x:f>IF(ISBLANK(INDIRECT(ADDRESS(ROW(),3))),"",ROW() - 6 + 'Доходы и расходы за 2 квартал'!$Z$2)</x:f>
        <x:v>#NAME?</x:v>
      </x:c>
      <x:c r="C224" s="44" t="s">
        <x:v>811</x:v>
      </x:c>
      <x:c r="D224" s="45" t="s">
        <x:v>812</x:v>
      </x:c>
      <x:c r="E224" s="46" t="s">
        <x:v>40</x:v>
      </x:c>
      <x:c r="F224" s="46">
        <x:v>26114.32</x:v>
      </x:c>
    </x:row>
    <x:row r="225" spans="1:28">
      <x:c r="B225" s="15" t="e">
        <x:f>IF(ISBLANK(INDIRECT(ADDRESS(ROW(),3))),"",ROW() - 6 + 'Доходы и расходы за 2 квартал'!$Z$2)</x:f>
        <x:v>#NAME?</x:v>
      </x:c>
      <x:c r="C225" s="44" t="s">
        <x:v>813</x:v>
      </x:c>
      <x:c r="D225" s="45" t="s">
        <x:v>814</x:v>
      </x:c>
      <x:c r="E225" s="46" t="s">
        <x:v>40</x:v>
      </x:c>
      <x:c r="F225" s="46">
        <x:v>214483.1</x:v>
      </x:c>
    </x:row>
    <x:row r="226" spans="1:28">
      <x:c r="B226" s="15" t="e">
        <x:f>IF(ISBLANK(INDIRECT(ADDRESS(ROW(),3))),"",ROW() - 6 + 'Доходы и расходы за 2 квартал'!$Z$2)</x:f>
        <x:v>#NAME?</x:v>
      </x:c>
      <x:c r="C226" s="44" t="s">
        <x:v>815</x:v>
      </x:c>
      <x:c r="D226" s="45" t="s">
        <x:v>816</x:v>
      </x:c>
      <x:c r="E226" s="46" t="s">
        <x:v>40</x:v>
      </x:c>
      <x:c r="F226" s="46">
        <x:v>3339.44</x:v>
      </x:c>
    </x:row>
    <x:row r="227" spans="1:28">
      <x:c r="B227" s="15" t="e">
        <x:f>IF(ISBLANK(INDIRECT(ADDRESS(ROW(),3))),"",ROW() - 6 + 'Доходы и расходы за 2 квартал'!$Z$2)</x:f>
        <x:v>#NAME?</x:v>
      </x:c>
      <x:c r="C227" s="44" t="s">
        <x:v>817</x:v>
      </x:c>
      <x:c r="D227" s="45" t="s">
        <x:v>818</x:v>
      </x:c>
      <x:c r="E227" s="46" t="s">
        <x:v>40</x:v>
      </x:c>
      <x:c r="F227" s="46">
        <x:v>1145.84</x:v>
      </x:c>
    </x:row>
    <x:row r="228" spans="1:28">
      <x:c r="B228" s="17" t="s">
        <x:v>819</x:v>
      </x:c>
      <x:c r="C228" s="17"/>
      <x:c r="D228" s="17"/>
      <x:c r="E228" s="48" t="e">
        <x:f>$AA$1</x:f>
        <x:v>#NAME?</x:v>
      </x:c>
      <x:c r="F228" s="46" t="e">
        <x:f>$AB$1</x:f>
        <x:v>#NAME?</x:v>
      </x:c>
    </x:row>
    <x:row r="229" spans="1:28">
      <x:c r="B229" s="52" t="s">
        <x:v>820</x:v>
      </x:c>
      <x:c r="C229" s="52"/>
      <x:c r="D229" s="52"/>
      <x:c r="E229" s="48" t="e">
        <x:f>$AA$2</x:f>
        <x:v>#NAME?</x:v>
      </x:c>
      <x:c r="F229" s="46" t="e">
        <x:f>$AB$2</x:f>
        <x:v>#NAME?</x:v>
      </x:c>
    </x:row>
  </x:sheetData>
  <x:mergeCells count="5">
    <x:mergeCell ref="B2:F2"/>
    <x:mergeCell ref="B4:D4"/>
    <x:mergeCell ref="E4:F4"/>
    <x:mergeCell ref="B228:D228"/>
    <x:mergeCell ref="B229:D229"/>
  </x:mergeCells>
  <x:conditionalFormatting sqref="F228:F229">
    <x:cfRule type="expression" dxfId="0" priority="1" operator="equal">
      <x:formula>$Y$1="1"</x:formula>
    </x:cfRule>
  </x:conditionalFormatting>
  <x:printOptions horizontalCentered="0" verticalCentered="0" headings="0" gridLines="0"/>
  <x:pageMargins left="0.7" right="0.7" top="0.75" bottom="0.75" header="0.511811023622047" footer="0.511811023622047"/>
  <x:pageSetup paperSize="9" fitToHeight="0" pageOrder="downThenOver" orientation="portrait" blackAndWhite="0" draft="0" cellComments="none" errors="displayed"/>
  <x:headerFooter differentOddEven="0" differentFirst="1" scaleWithDoc="1" alignWithMargins="1">
    <x:oddHeader/>
    <x:oddFooter>&amp;R&amp;P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AB50"/>
  <x:sheetViews>
    <x:sheetView workbookViewId="0"/>
  </x:sheetViews>
  <x:sheetFormatPr defaultRowHeight="15"/>
  <x:cols>
    <x:col min="1" max="1" width="3.425781" style="0" customWidth="1"/>
    <x:col min="2" max="2" width="8.710938" style="0" customWidth="1"/>
    <x:col min="3" max="3" width="15.425781" style="0" customWidth="1"/>
    <x:col min="4" max="4" width="42" style="0" customWidth="1"/>
    <x:col min="5" max="6" width="16.710938" style="0" customWidth="1"/>
    <x:col min="7" max="28" width="8.567768" style="0" customWidth="1"/>
  </x:cols>
  <x:sheetData>
    <x:row r="1" spans="1:28">
      <x:c r="B1" s="30"/>
      <x:c r="C1" s="30"/>
      <x:c r="D1" s="30"/>
      <x:c r="E1" s="30"/>
      <x:c r="F1" s="30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7" t="s">
        <x:v>18</x:v>
      </x:c>
      <x:c r="Z1" s="36"/>
      <x:c r="AA1" s="37" t="e">
        <x:f>SUM(INDIRECT("E7:"&amp;ADDRESS(MATCH("Итого за IV квартал", $B:$B, 0) - 1, 5)))</x:f>
        <x:v>#NAME?</x:v>
      </x:c>
      <x:c r="AB1" s="37" t="e">
        <x:f>SUM(INDIRECT("F7:"&amp;ADDRESS(MATCH("Итого за IV квартал", $B:$B, 0) - 1, 6)))</x:f>
        <x:v>#NAME?</x:v>
      </x:c>
    </x:row>
    <x:row r="2" spans="1:28">
      <x:c r="B2" s="38" t="s">
        <x:v>30</x:v>
      </x:c>
      <x:c r="C2" s="38"/>
      <x:c r="D2" s="38"/>
      <x:c r="E2" s="38"/>
      <x:c r="F2" s="38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  <x:c r="V2" s="36"/>
      <x:c r="W2" s="36"/>
      <x:c r="X2" s="36"/>
      <x:c r="Y2" s="36"/>
      <x:c r="Z2" s="36"/>
      <x:c r="AA2" s="37" t="e">
        <x:f>AA$1 + 'Доходы и расходы за 3 квартал'!AA$2</x:f>
        <x:v>#NAME?</x:v>
      </x:c>
      <x:c r="AB2" s="37" t="e">
        <x:f>AB$1 + 'Доходы и расходы за 3 квартал'!AB$2</x:f>
        <x:v>#NAME?</x:v>
      </x:c>
    </x:row>
    <x:row r="3" spans="1:28">
      <x:c r="B3" s="49"/>
      <x:c r="C3" s="49"/>
      <x:c r="D3" s="49"/>
      <x:c r="E3" s="49"/>
      <x:c r="F3" s="49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  <x:c r="AA3" s="37" t="e">
        <x:f>INDIRECT(ADDRESS(MATCH("Налоговый период", $C:$C, 0), 6))</x:f>
        <x:v>#NAME?</x:v>
      </x:c>
      <x:c r="AB3" s="37"/>
    </x:row>
    <x:row r="4" spans="1:28">
      <x:c r="B4" s="40" t="s">
        <x:v>31</x:v>
      </x:c>
      <x:c r="C4" s="40"/>
      <x:c r="D4" s="40"/>
      <x:c r="E4" s="9" t="s">
        <x:v>32</x:v>
      </x:c>
      <x:c r="F4" s="9"/>
      <x:c r="G4" s="36"/>
      <x:c r="H4" s="36"/>
      <x:c r="I4" s="36"/>
      <x:c r="J4" s="36"/>
      <x:c r="K4" s="36"/>
      <x:c r="L4" s="36"/>
      <x:c r="M4" s="36"/>
      <x:c r="N4" s="36"/>
      <x:c r="O4" s="36"/>
      <x:c r="P4" s="36"/>
      <x:c r="Q4" s="36"/>
      <x:c r="R4" s="36"/>
      <x:c r="S4" s="36"/>
      <x:c r="T4" s="36"/>
      <x:c r="U4" s="36"/>
      <x:c r="V4" s="36"/>
      <x:c r="W4" s="36"/>
      <x:c r="X4" s="36"/>
      <x:c r="Y4" s="36"/>
      <x:c r="Z4" s="36"/>
      <x:c r="AA4" s="53" t="e">
        <x:f>MAX($AA$2-$AB$2-IF(ISNUMBER($AA$3),$AA$3,0),0)</x:f>
        <x:v>#NAME?</x:v>
      </x:c>
      <x:c r="AB4" s="53" t="e">
        <x:f>MAX(-($AA$2-$AB$2-IF(ISNUMBER($AA$3),$AA$3,0)),0)</x:f>
        <x:v>#NAME?</x:v>
      </x:c>
    </x:row>
    <x:row r="5" spans="1:28" ht="68.25" customHeight="1">
      <x:c r="B5" s="41" t="s">
        <x:v>33</x:v>
      </x:c>
      <x:c r="C5" s="41" t="s">
        <x:v>34</x:v>
      </x:c>
      <x:c r="D5" s="42" t="s">
        <x:v>35</x:v>
      </x:c>
      <x:c r="E5" s="41" t="s">
        <x:v>36</x:v>
      </x:c>
      <x:c r="F5" s="43" t="s">
        <x:v>37</x:v>
      </x:c>
      <x:c r="G5" s="36"/>
      <x:c r="H5" s="36"/>
      <x:c r="I5" s="36"/>
      <x:c r="J5" s="36"/>
      <x:c r="K5" s="36"/>
      <x:c r="L5" s="36"/>
      <x:c r="M5" s="36"/>
      <x:c r="N5" s="36"/>
      <x:c r="O5" s="36"/>
      <x:c r="P5" s="36"/>
      <x:c r="Q5" s="36"/>
      <x:c r="R5" s="36"/>
      <x:c r="S5" s="36"/>
      <x:c r="T5" s="36"/>
      <x:c r="U5" s="36"/>
      <x:c r="V5" s="36"/>
      <x:c r="W5" s="36"/>
      <x:c r="X5" s="36"/>
      <x:c r="Y5" s="36"/>
      <x:c r="Z5" s="36"/>
      <x:c r="AA5" s="36"/>
      <x:c r="AB5" s="36"/>
    </x:row>
    <x:row r="6" spans="1:28">
      <x:c r="B6" s="40">
        <x:v>1</x:v>
      </x:c>
      <x:c r="C6" s="40">
        <x:v>2</x:v>
      </x:c>
      <x:c r="D6" s="40">
        <x:v>3</x:v>
      </x:c>
      <x:c r="E6" s="40">
        <x:v>4</x:v>
      </x:c>
      <x:c r="F6" s="9">
        <x:v>5</x:v>
      </x:c>
      <x:c r="G6" s="36"/>
      <x:c r="H6" s="36"/>
      <x:c r="I6" s="36"/>
      <x:c r="J6" s="36"/>
      <x:c r="K6" s="36"/>
      <x:c r="L6" s="36"/>
      <x:c r="M6" s="36"/>
      <x:c r="N6" s="36"/>
      <x:c r="O6" s="36"/>
      <x:c r="P6" s="36"/>
      <x:c r="Q6" s="36"/>
      <x:c r="R6" s="36"/>
      <x:c r="S6" s="36"/>
      <x:c r="T6" s="36"/>
      <x:c r="U6" s="36"/>
      <x:c r="V6" s="36"/>
      <x:c r="W6" s="36"/>
      <x:c r="X6" s="36"/>
      <x:c r="Y6" s="36"/>
      <x:c r="Z6" s="36"/>
      <x:c r="AA6" s="36"/>
      <x:c r="AB6" s="36"/>
    </x:row>
    <x:row r="7" spans="1:28">
      <x:c r="B7" s="15" t="e">
        <x:f>IF(ISBLANK(INDIRECT(ADDRESS(ROW(),3))),"",ROW() - 6 + 'Доходы и расходы за 3 квартал'!$Z$2)</x:f>
        <x:v>#NAME?</x:v>
      </x:c>
      <x:c r="C7" s="44" t="s">
        <x:v>821</x:v>
      </x:c>
      <x:c r="D7" s="45" t="s">
        <x:v>822</x:v>
      </x:c>
      <x:c r="E7" s="46">
        <x:v>3299.4</x:v>
      </x:c>
      <x:c r="F7" s="46" t="s">
        <x:v>40</x:v>
      </x:c>
    </x:row>
    <x:row r="8" spans="1:28">
      <x:c r="B8" s="15" t="e">
        <x:f>IF(ISBLANK(INDIRECT(ADDRESS(ROW(),3))),"",ROW() - 6 + 'Доходы и расходы за 3 квартал'!$Z$2)</x:f>
        <x:v>#NAME?</x:v>
      </x:c>
      <x:c r="C8" s="44" t="s">
        <x:v>823</x:v>
      </x:c>
      <x:c r="D8" s="45" t="s">
        <x:v>824</x:v>
      </x:c>
      <x:c r="E8" s="46" t="s">
        <x:v>40</x:v>
      </x:c>
      <x:c r="F8" s="46">
        <x:v>1690</x:v>
      </x:c>
    </x:row>
    <x:row r="9" spans="1:28">
      <x:c r="B9" s="15" t="e">
        <x:f>IF(ISBLANK(INDIRECT(ADDRESS(ROW(),3))),"",ROW() - 6 + 'Доходы и расходы за 3 квартал'!$Z$2)</x:f>
        <x:v>#NAME?</x:v>
      </x:c>
      <x:c r="C9" s="44" t="s">
        <x:v>825</x:v>
      </x:c>
      <x:c r="D9" s="45" t="s">
        <x:v>826</x:v>
      </x:c>
      <x:c r="E9" s="46" t="s">
        <x:v>40</x:v>
      </x:c>
      <x:c r="F9" s="46">
        <x:v>338</x:v>
      </x:c>
    </x:row>
    <x:row r="10" spans="1:28">
      <x:c r="B10" s="15" t="e">
        <x:f>IF(ISBLANK(INDIRECT(ADDRESS(ROW(),3))),"",ROW() - 6 + 'Доходы и расходы за 3 квартал'!$Z$2)</x:f>
        <x:v>#NAME?</x:v>
      </x:c>
      <x:c r="C10" s="44" t="s">
        <x:v>827</x:v>
      </x:c>
      <x:c r="D10" s="45" t="s">
        <x:v>828</x:v>
      </x:c>
      <x:c r="E10" s="46" t="s">
        <x:v>40</x:v>
      </x:c>
      <x:c r="F10" s="46">
        <x:v>42548</x:v>
      </x:c>
    </x:row>
    <x:row r="11" spans="1:28">
      <x:c r="B11" s="15" t="e">
        <x:f>IF(ISBLANK(INDIRECT(ADDRESS(ROW(),3))),"",ROW() - 6 + 'Доходы и расходы за 3 квартал'!$Z$2)</x:f>
        <x:v>#NAME?</x:v>
      </x:c>
      <x:c r="C11" s="44" t="s">
        <x:v>829</x:v>
      </x:c>
      <x:c r="D11" s="45" t="s">
        <x:v>830</x:v>
      </x:c>
      <x:c r="E11" s="46" t="s">
        <x:v>40</x:v>
      </x:c>
      <x:c r="F11" s="46">
        <x:v>4951.44</x:v>
      </x:c>
    </x:row>
    <x:row r="12" spans="1:28">
      <x:c r="B12" s="15" t="e">
        <x:f>IF(ISBLANK(INDIRECT(ADDRESS(ROW(),3))),"",ROW() - 6 + 'Доходы и расходы за 3 квартал'!$Z$2)</x:f>
        <x:v>#NAME?</x:v>
      </x:c>
      <x:c r="C12" s="44" t="s">
        <x:v>831</x:v>
      </x:c>
      <x:c r="D12" s="45" t="s">
        <x:v>832</x:v>
      </x:c>
      <x:c r="E12" s="46" t="s">
        <x:v>40</x:v>
      </x:c>
      <x:c r="F12" s="46">
        <x:v>6085</x:v>
      </x:c>
    </x:row>
    <x:row r="13" spans="1:28">
      <x:c r="B13" s="15" t="e">
        <x:f>IF(ISBLANK(INDIRECT(ADDRESS(ROW(),3))),"",ROW() - 6 + 'Доходы и расходы за 3 квартал'!$Z$2)</x:f>
        <x:v>#NAME?</x:v>
      </x:c>
      <x:c r="C13" s="44" t="s">
        <x:v>833</x:v>
      </x:c>
      <x:c r="D13" s="45" t="s">
        <x:v>586</x:v>
      </x:c>
      <x:c r="E13" s="46" t="s">
        <x:v>40</x:v>
      </x:c>
      <x:c r="F13" s="46">
        <x:v>25000</x:v>
      </x:c>
    </x:row>
    <x:row r="14" spans="1:28">
      <x:c r="B14" s="15" t="e">
        <x:f>IF(ISBLANK(INDIRECT(ADDRESS(ROW(),3))),"",ROW() - 6 + 'Доходы и расходы за 3 квартал'!$Z$2)</x:f>
        <x:v>#NAME?</x:v>
      </x:c>
      <x:c r="C14" s="44" t="s">
        <x:v>834</x:v>
      </x:c>
      <x:c r="D14" s="45" t="s">
        <x:v>835</x:v>
      </x:c>
      <x:c r="E14" s="46" t="s">
        <x:v>40</x:v>
      </x:c>
      <x:c r="F14" s="46">
        <x:v>6365.12</x:v>
      </x:c>
    </x:row>
    <x:row r="15" spans="1:28">
      <x:c r="B15" s="15" t="e">
        <x:f>IF(ISBLANK(INDIRECT(ADDRESS(ROW(),3))),"",ROW() - 6 + 'Доходы и расходы за 3 квартал'!$Z$2)</x:f>
        <x:v>#NAME?</x:v>
      </x:c>
      <x:c r="C15" s="44" t="s">
        <x:v>836</x:v>
      </x:c>
      <x:c r="D15" s="45" t="s">
        <x:v>837</x:v>
      </x:c>
      <x:c r="E15" s="46" t="s">
        <x:v>40</x:v>
      </x:c>
      <x:c r="F15" s="46">
        <x:v>1887.09</x:v>
      </x:c>
    </x:row>
    <x:row r="16" spans="1:28">
      <x:c r="B16" s="15" t="e">
        <x:f>IF(ISBLANK(INDIRECT(ADDRESS(ROW(),3))),"",ROW() - 6 + 'Доходы и расходы за 3 квартал'!$Z$2)</x:f>
        <x:v>#NAME?</x:v>
      </x:c>
      <x:c r="C16" s="44" t="s">
        <x:v>838</x:v>
      </x:c>
      <x:c r="D16" s="45" t="s">
        <x:v>586</x:v>
      </x:c>
      <x:c r="E16" s="46" t="s">
        <x:v>40</x:v>
      </x:c>
      <x:c r="F16" s="46">
        <x:v>25000</x:v>
      </x:c>
    </x:row>
    <x:row r="17" spans="1:28">
      <x:c r="B17" s="15" t="e">
        <x:f>IF(ISBLANK(INDIRECT(ADDRESS(ROW(),3))),"",ROW() - 6 + 'Доходы и расходы за 3 квартал'!$Z$2)</x:f>
        <x:v>#NAME?</x:v>
      </x:c>
      <x:c r="C17" s="44" t="s">
        <x:v>839</x:v>
      </x:c>
      <x:c r="D17" s="45" t="s">
        <x:v>840</x:v>
      </x:c>
      <x:c r="E17" s="46" t="s">
        <x:v>40</x:v>
      </x:c>
      <x:c r="F17" s="46">
        <x:v>30576.73</x:v>
      </x:c>
    </x:row>
    <x:row r="18" spans="1:28">
      <x:c r="B18" s="15" t="e">
        <x:f>IF(ISBLANK(INDIRECT(ADDRESS(ROW(),3))),"",ROW() - 6 + 'Доходы и расходы за 3 квартал'!$Z$2)</x:f>
        <x:v>#NAME?</x:v>
      </x:c>
      <x:c r="C18" s="44" t="s">
        <x:v>841</x:v>
      </x:c>
      <x:c r="D18" s="45" t="s">
        <x:v>842</x:v>
      </x:c>
      <x:c r="E18" s="46" t="s">
        <x:v>40</x:v>
      </x:c>
      <x:c r="F18" s="46">
        <x:v>11172</x:v>
      </x:c>
    </x:row>
    <x:row r="19" spans="1:28">
      <x:c r="B19" s="15" t="e">
        <x:f>IF(ISBLANK(INDIRECT(ADDRESS(ROW(),3))),"",ROW() - 6 + 'Доходы и расходы за 3 квартал'!$Z$2)</x:f>
        <x:v>#NAME?</x:v>
      </x:c>
      <x:c r="C19" s="44" t="s">
        <x:v>843</x:v>
      </x:c>
      <x:c r="D19" s="45" t="s">
        <x:v>844</x:v>
      </x:c>
      <x:c r="E19" s="46">
        <x:v>122723.66</x:v>
      </x:c>
      <x:c r="F19" s="46" t="s">
        <x:v>40</x:v>
      </x:c>
    </x:row>
    <x:row r="20" spans="1:28">
      <x:c r="B20" s="15" t="e">
        <x:f>IF(ISBLANK(INDIRECT(ADDRESS(ROW(),3))),"",ROW() - 6 + 'Доходы и расходы за 3 квартал'!$Z$2)</x:f>
        <x:v>#NAME?</x:v>
      </x:c>
      <x:c r="C20" s="44" t="s">
        <x:v>845</x:v>
      </x:c>
      <x:c r="D20" s="45" t="s">
        <x:v>846</x:v>
      </x:c>
      <x:c r="E20" s="46" t="s">
        <x:v>40</x:v>
      </x:c>
      <x:c r="F20" s="46">
        <x:v>4190.78</x:v>
      </x:c>
    </x:row>
    <x:row r="21" spans="1:28">
      <x:c r="B21" s="15" t="e">
        <x:f>IF(ISBLANK(INDIRECT(ADDRESS(ROW(),3))),"",ROW() - 6 + 'Доходы и расходы за 3 квартал'!$Z$2)</x:f>
        <x:v>#NAME?</x:v>
      </x:c>
      <x:c r="C21" s="44" t="s">
        <x:v>847</x:v>
      </x:c>
      <x:c r="D21" s="45" t="s">
        <x:v>93</x:v>
      </x:c>
      <x:c r="E21" s="46" t="s">
        <x:v>40</x:v>
      </x:c>
      <x:c r="F21" s="46">
        <x:v>1720</x:v>
      </x:c>
    </x:row>
    <x:row r="22" spans="1:28">
      <x:c r="B22" s="15" t="e">
        <x:f>IF(ISBLANK(INDIRECT(ADDRESS(ROW(),3))),"",ROW() - 6 + 'Доходы и расходы за 3 квартал'!$Z$2)</x:f>
        <x:v>#NAME?</x:v>
      </x:c>
      <x:c r="C22" s="44" t="s">
        <x:v>848</x:v>
      </x:c>
      <x:c r="D22" s="45" t="s">
        <x:v>561</x:v>
      </x:c>
      <x:c r="E22" s="46" t="s">
        <x:v>40</x:v>
      </x:c>
      <x:c r="F22" s="46">
        <x:v>50000</x:v>
      </x:c>
    </x:row>
    <x:row r="23" spans="1:28">
      <x:c r="B23" s="15" t="e">
        <x:f>IF(ISBLANK(INDIRECT(ADDRESS(ROW(),3))),"",ROW() - 6 + 'Доходы и расходы за 3 квартал'!$Z$2)</x:f>
        <x:v>#NAME?</x:v>
      </x:c>
      <x:c r="C23" s="44" t="s">
        <x:v>849</x:v>
      </x:c>
      <x:c r="D23" s="45" t="s">
        <x:v>850</x:v>
      </x:c>
      <x:c r="E23" s="46" t="s">
        <x:v>40</x:v>
      </x:c>
      <x:c r="F23" s="46">
        <x:v>20732.62</x:v>
      </x:c>
    </x:row>
    <x:row r="24" spans="1:28">
      <x:c r="B24" s="15" t="e">
        <x:f>IF(ISBLANK(INDIRECT(ADDRESS(ROW(),3))),"",ROW() - 6 + 'Доходы и расходы за 3 квартал'!$Z$2)</x:f>
        <x:v>#NAME?</x:v>
      </x:c>
      <x:c r="C24" s="44" t="s">
        <x:v>851</x:v>
      </x:c>
      <x:c r="D24" s="45" t="s">
        <x:v>852</x:v>
      </x:c>
      <x:c r="E24" s="46" t="s">
        <x:v>40</x:v>
      </x:c>
      <x:c r="F24" s="46">
        <x:v>2501.61</x:v>
      </x:c>
    </x:row>
    <x:row r="25" spans="1:28">
      <x:c r="B25" s="15" t="e">
        <x:f>IF(ISBLANK(INDIRECT(ADDRESS(ROW(),3))),"",ROW() - 6 + 'Доходы и расходы за 3 квартал'!$Z$2)</x:f>
        <x:v>#NAME?</x:v>
      </x:c>
      <x:c r="C25" s="44" t="s">
        <x:v>853</x:v>
      </x:c>
      <x:c r="D25" s="45" t="s">
        <x:v>854</x:v>
      </x:c>
      <x:c r="E25" s="46" t="s">
        <x:v>40</x:v>
      </x:c>
      <x:c r="F25" s="46">
        <x:v>2735.9</x:v>
      </x:c>
    </x:row>
    <x:row r="26" spans="1:28">
      <x:c r="B26" s="15" t="e">
        <x:f>IF(ISBLANK(INDIRECT(ADDRESS(ROW(),3))),"",ROW() - 6 + 'Доходы и расходы за 3 квартал'!$Z$2)</x:f>
        <x:v>#NAME?</x:v>
      </x:c>
      <x:c r="C26" s="44" t="s">
        <x:v>855</x:v>
      </x:c>
      <x:c r="D26" s="45" t="s">
        <x:v>856</x:v>
      </x:c>
      <x:c r="E26" s="46" t="s">
        <x:v>40</x:v>
      </x:c>
      <x:c r="F26" s="46">
        <x:v>1500</x:v>
      </x:c>
    </x:row>
    <x:row r="27" spans="1:28">
      <x:c r="B27" s="15" t="e">
        <x:f>IF(ISBLANK(INDIRECT(ADDRESS(ROW(),3))),"",ROW() - 6 + 'Доходы и расходы за 3 квартал'!$Z$2)</x:f>
        <x:v>#NAME?</x:v>
      </x:c>
      <x:c r="C27" s="44" t="s">
        <x:v>857</x:v>
      </x:c>
      <x:c r="D27" s="45" t="s">
        <x:v>858</x:v>
      </x:c>
      <x:c r="E27" s="46" t="s">
        <x:v>40</x:v>
      </x:c>
      <x:c r="F27" s="46">
        <x:v>9262.24</x:v>
      </x:c>
    </x:row>
    <x:row r="28" spans="1:28">
      <x:c r="B28" s="15" t="e">
        <x:f>IF(ISBLANK(INDIRECT(ADDRESS(ROW(),3))),"",ROW() - 6 + 'Доходы и расходы за 3 квартал'!$Z$2)</x:f>
        <x:v>#NAME?</x:v>
      </x:c>
      <x:c r="C28" s="44" t="s">
        <x:v>859</x:v>
      </x:c>
      <x:c r="D28" s="45" t="s">
        <x:v>860</x:v>
      </x:c>
      <x:c r="E28" s="46" t="s">
        <x:v>40</x:v>
      </x:c>
      <x:c r="F28" s="46">
        <x:v>22357</x:v>
      </x:c>
    </x:row>
    <x:row r="29" spans="1:28">
      <x:c r="B29" s="15" t="e">
        <x:f>IF(ISBLANK(INDIRECT(ADDRESS(ROW(),3))),"",ROW() - 6 + 'Доходы и расходы за 3 квартал'!$Z$2)</x:f>
        <x:v>#NAME?</x:v>
      </x:c>
      <x:c r="C29" s="44" t="s">
        <x:v>861</x:v>
      </x:c>
      <x:c r="D29" s="45" t="s">
        <x:v>862</x:v>
      </x:c>
      <x:c r="E29" s="46" t="s">
        <x:v>40</x:v>
      </x:c>
      <x:c r="F29" s="46">
        <x:v>13719.26</x:v>
      </x:c>
    </x:row>
    <x:row r="30" spans="1:28">
      <x:c r="B30" s="15" t="e">
        <x:f>IF(ISBLANK(INDIRECT(ADDRESS(ROW(),3))),"",ROW() - 6 + 'Доходы и расходы за 3 квартал'!$Z$2)</x:f>
        <x:v>#NAME?</x:v>
      </x:c>
      <x:c r="C30" s="44" t="s">
        <x:v>863</x:v>
      </x:c>
      <x:c r="D30" s="45" t="s">
        <x:v>91</x:v>
      </x:c>
      <x:c r="E30" s="46" t="s">
        <x:v>40</x:v>
      </x:c>
      <x:c r="F30" s="46">
        <x:v>10704.55</x:v>
      </x:c>
    </x:row>
    <x:row r="31" spans="1:28">
      <x:c r="B31" s="15" t="e">
        <x:f>IF(ISBLANK(INDIRECT(ADDRESS(ROW(),3))),"",ROW() - 6 + 'Доходы и расходы за 3 квартал'!$Z$2)</x:f>
        <x:v>#NAME?</x:v>
      </x:c>
      <x:c r="C31" s="44" t="s">
        <x:v>864</x:v>
      </x:c>
      <x:c r="D31" s="45" t="s">
        <x:v>865</x:v>
      </x:c>
      <x:c r="E31" s="46" t="s">
        <x:v>40</x:v>
      </x:c>
      <x:c r="F31" s="46">
        <x:v>38195.5</x:v>
      </x:c>
    </x:row>
    <x:row r="32" spans="1:28">
      <x:c r="B32" s="15" t="e">
        <x:f>IF(ISBLANK(INDIRECT(ADDRESS(ROW(),3))),"",ROW() - 6 + 'Доходы и расходы за 3 квартал'!$Z$2)</x:f>
        <x:v>#NAME?</x:v>
      </x:c>
      <x:c r="C32" s="44" t="s">
        <x:v>866</x:v>
      </x:c>
      <x:c r="D32" s="45" t="s">
        <x:v>867</x:v>
      </x:c>
      <x:c r="E32" s="46" t="s">
        <x:v>40</x:v>
      </x:c>
      <x:c r="F32" s="46">
        <x:v>27076</x:v>
      </x:c>
    </x:row>
    <x:row r="33" spans="1:28">
      <x:c r="B33" s="15" t="e">
        <x:f>IF(ISBLANK(INDIRECT(ADDRESS(ROW(),3))),"",ROW() - 6 + 'Доходы и расходы за 3 квартал'!$Z$2)</x:f>
        <x:v>#NAME?</x:v>
      </x:c>
      <x:c r="C33" s="44" t="s">
        <x:v>868</x:v>
      </x:c>
      <x:c r="D33" s="45" t="s">
        <x:v>869</x:v>
      </x:c>
      <x:c r="E33" s="46" t="s">
        <x:v>40</x:v>
      </x:c>
      <x:c r="F33" s="46">
        <x:v>2787.38</x:v>
      </x:c>
    </x:row>
    <x:row r="34" spans="1:28">
      <x:c r="B34" s="15" t="e">
        <x:f>IF(ISBLANK(INDIRECT(ADDRESS(ROW(),3))),"",ROW() - 6 + 'Доходы и расходы за 3 квартал'!$Z$2)</x:f>
        <x:v>#NAME?</x:v>
      </x:c>
      <x:c r="C34" s="44" t="s">
        <x:v>870</x:v>
      </x:c>
      <x:c r="D34" s="45" t="s">
        <x:v>871</x:v>
      </x:c>
      <x:c r="E34" s="46" t="s">
        <x:v>40</x:v>
      </x:c>
      <x:c r="F34" s="46">
        <x:v>9886.84</x:v>
      </x:c>
    </x:row>
    <x:row r="35" spans="1:28">
      <x:c r="B35" s="17" t="s">
        <x:v>872</x:v>
      </x:c>
      <x:c r="C35" s="17"/>
      <x:c r="D35" s="17"/>
      <x:c r="E35" s="48" t="e">
        <x:f>$AA$1</x:f>
        <x:v>#NAME?</x:v>
      </x:c>
      <x:c r="F35" s="46" t="e">
        <x:f>$AB$1</x:f>
        <x:v>#NAME?</x:v>
      </x:c>
    </x:row>
    <x:row r="36" spans="1:28">
      <x:c r="B36" s="17" t="s">
        <x:v>873</x:v>
      </x:c>
      <x:c r="C36" s="17"/>
      <x:c r="D36" s="17"/>
      <x:c r="E36" s="48" t="e">
        <x:f>$AA$2</x:f>
        <x:v>#NAME?</x:v>
      </x:c>
      <x:c r="F36" s="46" t="e">
        <x:f>$AB$2</x:f>
        <x:v>#NAME?</x:v>
      </x:c>
    </x:row>
    <x:row r="37" spans="1:28">
      <x:c r="B37" s="29"/>
      <x:c r="C37" s="29"/>
      <x:c r="D37" s="29"/>
      <x:c r="E37" s="29"/>
      <x:c r="F37" s="29"/>
    </x:row>
    <x:row r="38" spans="1:28">
      <x:c r="B38" s="30" t="s">
        <x:v>874</x:v>
      </x:c>
      <x:c r="C38" s="30"/>
      <x:c r="D38" s="30"/>
      <x:c r="E38" s="30"/>
      <x:c r="F38" s="30"/>
    </x:row>
    <x:row r="39" spans="1:28">
      <x:c r="B39" s="30"/>
      <x:c r="C39" s="30"/>
      <x:c r="D39" s="30"/>
      <x:c r="E39" s="30"/>
      <x:c r="F39" s="30"/>
    </x:row>
    <x:row r="40" spans="1:28">
      <x:c r="B40" s="54" t="s">
        <x:v>875</x:v>
      </x:c>
      <x:c r="C40" s="55" t="s">
        <x:v>876</x:v>
      </x:c>
      <x:c r="D40" s="55"/>
      <x:c r="E40" s="55"/>
      <x:c r="F40" s="56" t="e">
        <x:f>$AA$2</x:f>
        <x:v>#NAME?</x:v>
      </x:c>
    </x:row>
    <x:row r="41" spans="1:28">
      <x:c r="B41" s="57" t="s">
        <x:v>877</x:v>
      </x:c>
      <x:c r="C41" s="55" t="s">
        <x:v>878</x:v>
      </x:c>
      <x:c r="D41" s="55"/>
      <x:c r="E41" s="55"/>
      <x:c r="F41" s="58" t="e">
        <x:f>$AB$2</x:f>
        <x:v>#NAME?</x:v>
      </x:c>
    </x:row>
    <x:row r="42" spans="1:28">
      <x:c r="B42" s="57" t="s">
        <x:v>879</x:v>
      </x:c>
      <x:c r="C42" s="55" t="s">
        <x:v>880</x:v>
      </x:c>
      <x:c r="D42" s="55"/>
      <x:c r="E42" s="55"/>
      <x:c r="F42" s="58"/>
    </x:row>
    <x:row r="43" spans="1:28">
      <x:c r="B43" s="54"/>
      <x:c r="C43" s="55" t="s">
        <x:v>881</x:v>
      </x:c>
      <x:c r="D43" s="55"/>
      <x:c r="E43" s="55"/>
      <x:c r="F43" s="56"/>
    </x:row>
    <x:row r="44" spans="1:28">
      <x:c r="B44" s="54"/>
      <x:c r="C44" s="55" t="s">
        <x:v>882</x:v>
      </x:c>
      <x:c r="D44" s="55"/>
      <x:c r="E44" s="55"/>
      <x:c r="F44" s="59">
        <x:v>0</x:v>
      </x:c>
    </x:row>
    <x:row r="45" spans="1:28">
      <x:c r="B45" s="54"/>
      <x:c r="C45" s="55"/>
      <x:c r="D45" s="55"/>
      <x:c r="E45" s="55"/>
      <x:c r="F45" s="58"/>
    </x:row>
    <x:row r="46" spans="1:28">
      <x:c r="B46" s="54"/>
      <x:c r="C46" s="55" t="s">
        <x:v>883</x:v>
      </x:c>
      <x:c r="D46" s="55"/>
      <x:c r="E46" s="55"/>
      <x:c r="F46" s="56"/>
    </x:row>
    <x:row r="47" spans="1:28">
      <x:c r="B47" s="57" t="s">
        <x:v>884</x:v>
      </x:c>
      <x:c r="C47" s="55" t="s">
        <x:v>885</x:v>
      </x:c>
      <x:c r="D47" s="55"/>
      <x:c r="E47" s="55"/>
      <x:c r="F47" s="56"/>
    </x:row>
    <x:row r="48" spans="1:28">
      <x:c r="B48" s="57"/>
      <x:c r="C48" s="55" t="s">
        <x:v>886</x:v>
      </x:c>
      <x:c r="D48" s="55"/>
      <x:c r="E48" s="55"/>
      <x:c r="F48" s="56" t="e">
        <x:f>$AA$4</x:f>
        <x:v>#NAME?</x:v>
      </x:c>
    </x:row>
    <x:row r="49" spans="1:28">
      <x:c r="B49" s="57" t="s">
        <x:v>887</x:v>
      </x:c>
      <x:c r="C49" s="55" t="s">
        <x:v>888</x:v>
      </x:c>
      <x:c r="D49" s="55"/>
      <x:c r="E49" s="55"/>
      <x:c r="F49" s="58"/>
    </x:row>
    <x:row r="50" spans="1:28">
      <x:c r="B50" s="54"/>
      <x:c r="C50" s="55" t="s">
        <x:v>889</x:v>
      </x:c>
      <x:c r="D50" s="55"/>
      <x:c r="E50" s="55"/>
      <x:c r="F50" s="56" t="e">
        <x:f>$AB$4</x:f>
        <x:v>#NAME?</x:v>
      </x:c>
    </x:row>
  </x:sheetData>
  <x:mergeCells count="17">
    <x:mergeCell ref="B2:F2"/>
    <x:mergeCell ref="B4:D4"/>
    <x:mergeCell ref="E4:F4"/>
    <x:mergeCell ref="B35:D35"/>
    <x:mergeCell ref="B36:D36"/>
    <x:mergeCell ref="B38:C38"/>
    <x:mergeCell ref="C40:E40"/>
    <x:mergeCell ref="C41:E41"/>
    <x:mergeCell ref="C42:E42"/>
    <x:mergeCell ref="C43:E43"/>
    <x:mergeCell ref="C44:E44"/>
    <x:mergeCell ref="C45:E45"/>
    <x:mergeCell ref="C46:E46"/>
    <x:mergeCell ref="C47:E47"/>
    <x:mergeCell ref="C48:E48"/>
    <x:mergeCell ref="C49:E49"/>
    <x:mergeCell ref="C50:E50"/>
  </x:mergeCells>
  <x:conditionalFormatting sqref="F35:F50">
    <x:cfRule type="expression" dxfId="0" priority="1" operator="equal">
      <x:formula>$Y$1="1"</x:formula>
    </x:cfRule>
  </x:conditionalFormatting>
  <x:printOptions horizontalCentered="0" verticalCentered="0" headings="0" gridLines="0"/>
  <x:pageMargins left="0.7" right="0.7" top="0.75" bottom="0.75" header="0.511811023622047" footer="0.511811023622047"/>
  <x:pageSetup paperSize="9" fitToHeight="0" pageOrder="downThenOver" orientation="portrait" blackAndWhite="0" draft="0" cellComments="none" errors="displayed"/>
  <x:headerFooter differentOddEven="0" differentFirst="1" scaleWithDoc="1" alignWithMargins="1">
    <x:oddHeader/>
    <x:oddFooter>&amp;R&amp;P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Q7"/>
  <x:sheetViews>
    <x:sheetView workbookViewId="0"/>
  </x:sheetViews>
  <x:sheetFormatPr defaultRowHeight="15"/>
  <x:cols>
    <x:col min="1" max="1" width="3.425781" style="0" customWidth="1"/>
    <x:col min="2" max="2" width="5.855469" style="0" customWidth="1"/>
    <x:col min="3" max="3" width="17.285156" style="0" customWidth="1"/>
    <x:col min="4" max="4" width="11.710938" style="0" customWidth="1"/>
    <x:col min="5" max="5" width="8.710938" style="0" customWidth="1"/>
    <x:col min="6" max="6" width="11" style="0" customWidth="1"/>
    <x:col min="7" max="7" width="11.140625" style="0" customWidth="1"/>
    <x:col min="8" max="8" width="9.425781" style="0" customWidth="1"/>
    <x:col min="9" max="10" width="9.710938" style="0" customWidth="1"/>
    <x:col min="11" max="11" width="8.710938" style="0" customWidth="1"/>
    <x:col min="12" max="12" width="10.855469" style="0" customWidth="1"/>
    <x:col min="13" max="14" width="8.710938" style="0" customWidth="1"/>
    <x:col min="15" max="15" width="9.855469" style="0" customWidth="1"/>
    <x:col min="16" max="16" width="10.140625" style="0" customWidth="1"/>
    <x:col min="17" max="17" width="9.710938" style="0" customWidth="1"/>
  </x:cols>
  <x:sheetData>
    <x:row r="1" spans="1:17" ht="47.25" customHeight="1">
      <x:c r="B1" s="60" t="s">
        <x:v>890</x:v>
      </x:c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</x:row>
    <x:row r="2" spans="1:17">
      <x:c r="B2" s="61"/>
      <x:c r="C2" s="4"/>
      <x:c r="D2" s="61"/>
      <x:c r="E2" s="5"/>
      <x:c r="F2" s="61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61"/>
    </x:row>
    <x:row r="3" spans="1:17" ht="57.75" customHeight="1">
      <x:c r="B3" s="62" t="s">
        <x:v>891</x:v>
      </x:c>
      <x:c r="C3" s="63" t="s">
        <x:v>892</x:v>
      </x:c>
      <x:c r="D3" s="63" t="s">
        <x:v>893</x:v>
      </x:c>
      <x:c r="E3" s="63" t="s">
        <x:v>894</x:v>
      </x:c>
      <x:c r="F3" s="63" t="s">
        <x:v>895</x:v>
      </x:c>
      <x:c r="G3" s="63" t="s">
        <x:v>896</x:v>
      </x:c>
      <x:c r="H3" s="63" t="s">
        <x:v>897</x:v>
      </x:c>
      <x:c r="I3" s="63" t="s">
        <x:v>898</x:v>
      </x:c>
      <x:c r="J3" s="63" t="s">
        <x:v>899</x:v>
      </x:c>
      <x:c r="K3" s="63" t="s">
        <x:v>900</x:v>
      </x:c>
      <x:c r="L3" s="63" t="s">
        <x:v>901</x:v>
      </x:c>
      <x:c r="M3" s="63" t="s">
        <x:v>902</x:v>
      </x:c>
      <x:c r="N3" s="63"/>
      <x:c r="O3" s="63" t="s">
        <x:v>903</x:v>
      </x:c>
      <x:c r="P3" s="63" t="s">
        <x:v>904</x:v>
      </x:c>
      <x:c r="Q3" s="64" t="s">
        <x:v>905</x:v>
      </x:c>
    </x:row>
    <x:row r="4" spans="1:17" ht="137.25" customHeight="1">
      <x:c r="B4" s="62"/>
      <x:c r="C4" s="63"/>
      <x:c r="D4" s="63"/>
      <x:c r="E4" s="63"/>
      <x:c r="F4" s="63"/>
      <x:c r="G4" s="63"/>
      <x:c r="H4" s="63"/>
      <x:c r="I4" s="63"/>
      <x:c r="J4" s="63"/>
      <x:c r="K4" s="63"/>
      <x:c r="L4" s="63"/>
      <x:c r="M4" s="63" t="s">
        <x:v>906</x:v>
      </x:c>
      <x:c r="N4" s="63" t="s">
        <x:v>907</x:v>
      </x:c>
      <x:c r="O4" s="63"/>
      <x:c r="P4" s="63"/>
      <x:c r="Q4" s="64"/>
    </x:row>
    <x:row r="5" spans="1:17" ht="14.25" customHeight="1">
      <x:c r="B5" s="65">
        <x:v>1</x:v>
      </x:c>
      <x:c r="C5" s="65">
        <x:v>2</x:v>
      </x:c>
      <x:c r="D5" s="65">
        <x:v>3</x:v>
      </x:c>
      <x:c r="E5" s="65">
        <x:v>4</x:v>
      </x:c>
      <x:c r="F5" s="65">
        <x:v>5</x:v>
      </x:c>
      <x:c r="G5" s="65">
        <x:v>6</x:v>
      </x:c>
      <x:c r="H5" s="65">
        <x:v>7</x:v>
      </x:c>
      <x:c r="I5" s="65">
        <x:v>8</x:v>
      </x:c>
      <x:c r="J5" s="65">
        <x:v>9</x:v>
      </x:c>
      <x:c r="K5" s="65">
        <x:v>10</x:v>
      </x:c>
      <x:c r="L5" s="65">
        <x:v>11</x:v>
      </x:c>
      <x:c r="M5" s="65">
        <x:v>12</x:v>
      </x:c>
      <x:c r="N5" s="65">
        <x:v>13</x:v>
      </x:c>
      <x:c r="O5" s="65">
        <x:v>14</x:v>
      </x:c>
      <x:c r="P5" s="65">
        <x:v>15</x:v>
      </x:c>
      <x:c r="Q5" s="66">
        <x:v>16</x:v>
      </x:c>
    </x:row>
    <x:row r="6" spans="1:17" ht="14.25" customHeight="1">
      <x:c r="B6" s="65"/>
      <x:c r="C6" s="65"/>
      <x:c r="D6" s="65"/>
      <x:c r="E6" s="65"/>
      <x:c r="F6" s="65"/>
      <x:c r="G6" s="65"/>
      <x:c r="H6" s="65"/>
      <x:c r="I6" s="65"/>
      <x:c r="J6" s="65"/>
      <x:c r="K6" s="65"/>
      <x:c r="L6" s="65"/>
      <x:c r="M6" s="65"/>
      <x:c r="N6" s="65"/>
      <x:c r="O6" s="65"/>
      <x:c r="P6" s="65"/>
      <x:c r="Q6" s="66"/>
    </x:row>
    <x:row r="7" spans="1:17" ht="85.5" customHeight="1">
      <x:c r="B7" s="67" t="s">
        <x:v>908</x:v>
      </x:c>
      <x:c r="C7" s="68" t="s">
        <x:v>909</x:v>
      </x:c>
      <x:c r="D7" s="68" t="s">
        <x:v>909</x:v>
      </x:c>
      <x:c r="E7" s="68" t="s">
        <x:v>909</x:v>
      </x:c>
      <x:c r="F7" s="68" t="s">
        <x:v>909</x:v>
      </x:c>
      <x:c r="G7" s="69"/>
      <x:c r="H7" s="68" t="s">
        <x:v>909</x:v>
      </x:c>
      <x:c r="I7" s="68"/>
      <x:c r="J7" s="68" t="s">
        <x:v>909</x:v>
      </x:c>
      <x:c r="K7" s="68" t="s">
        <x:v>909</x:v>
      </x:c>
      <x:c r="L7" s="68" t="s">
        <x:v>909</x:v>
      </x:c>
      <x:c r="M7" s="69"/>
      <x:c r="N7" s="69"/>
      <x:c r="O7" s="68"/>
      <x:c r="P7" s="68"/>
      <x:c r="Q7" s="70" t="s">
        <x:v>909</x:v>
      </x:c>
    </x:row>
  </x:sheetData>
  <x:mergeCells count="16">
    <x:mergeCell ref="B1:Q1"/>
    <x:mergeCell ref="B3:B4"/>
    <x:mergeCell ref="C3:C4"/>
    <x:mergeCell ref="D3:D4"/>
    <x:mergeCell ref="E3:E4"/>
    <x:mergeCell ref="F3:F4"/>
    <x:mergeCell ref="G3:G4"/>
    <x:mergeCell ref="H3:H4"/>
    <x:mergeCell ref="I3:I4"/>
    <x:mergeCell ref="J3:J4"/>
    <x:mergeCell ref="K3:K4"/>
    <x:mergeCell ref="L3:L4"/>
    <x:mergeCell ref="M3:N3"/>
    <x:mergeCell ref="O3:O4"/>
    <x:mergeCell ref="P3:P4"/>
    <x:mergeCell ref="Q3:Q4"/>
  </x:mergeCells>
  <x:printOptions horizontalCentered="0" verticalCentered="0" headings="0" gridLines="0"/>
  <x:pageMargins left="0.7" right="0.7" top="0.75" bottom="0.75" header="0.511811023622047" footer="0.511811023622047"/>
  <x:pageSetup paperSize="9" fitToHeight="0" pageOrder="downThenOver" orientation="landscape" blackAndWhite="0" draft="0" cellComments="none" errors="displayed"/>
  <x:headerFooter differentOddEven="0" differentFirst="1" scaleWithDoc="1" alignWithMargins="1">
    <x:oddHeader/>
    <x:oddFooter>&amp;R&amp;P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Y51"/>
  <x:sheetViews>
    <x:sheetView workbookViewId="0"/>
  </x:sheetViews>
  <x:sheetFormatPr defaultRowHeight="15"/>
  <x:cols>
    <x:col min="1" max="1" width="8.710938" style="0" customWidth="1"/>
    <x:col min="2" max="2" width="6.140625" style="0" customWidth="1"/>
    <x:col min="3" max="3" width="16.710938" style="0" customWidth="1"/>
    <x:col min="4" max="4" width="9.855469" style="0" customWidth="1"/>
    <x:col min="5" max="5" width="28.285156" style="0" customWidth="1"/>
    <x:col min="6" max="6" width="4.285156" style="0" customWidth="1"/>
    <x:col min="7" max="7" width="2.855469" style="0" customWidth="1"/>
    <x:col min="8" max="8" width="0.855469" style="0" customWidth="1"/>
    <x:col min="9" max="9" width="3.855469" style="0" customWidth="1"/>
    <x:col min="10" max="10" width="31.710938" style="0" customWidth="1"/>
    <x:col min="11" max="25" width="8.567768" style="0" customWidth="1"/>
  </x:cols>
  <x:sheetData>
    <x:row r="1" spans="1:25" ht="47.25" customHeight="1">
      <x:c r="B1" s="60" t="s">
        <x:v>910</x:v>
      </x:c>
      <x:c r="C1" s="60"/>
      <x:c r="D1" s="60"/>
      <x:c r="E1" s="60"/>
      <x:c r="F1" s="60"/>
      <x:c r="G1" s="60"/>
      <x:c r="H1" s="60"/>
      <x:c r="I1" s="60"/>
      <x:c r="J1" s="60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7" t="str">
        <x:f>'Доходы и расходы за 4 квартал'!$Y$1</x:f>
        <x:v>0</x:v>
      </x:c>
    </x:row>
    <x:row r="2" spans="1:25">
      <x:c r="B2" s="5"/>
      <x:c r="C2" s="5"/>
      <x:c r="D2" s="5"/>
      <x:c r="E2" s="5"/>
      <x:c r="F2" s="71"/>
      <x:c r="G2" s="71"/>
      <x:c r="H2" s="71"/>
      <x:c r="I2" s="71"/>
      <x:c r="J2" s="5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  <x:c r="V2" s="36"/>
      <x:c r="W2" s="36"/>
      <x:c r="X2" s="36"/>
      <x:c r="Y2" s="36"/>
    </x:row>
    <x:row r="3" spans="1:25" ht="24" customHeight="1">
      <x:c r="B3" s="72" t="s">
        <x:v>911</x:v>
      </x:c>
      <x:c r="C3" s="72"/>
      <x:c r="D3" s="72"/>
      <x:c r="E3" s="72"/>
      <x:c r="F3" s="41" t="s">
        <x:v>912</x:v>
      </x:c>
      <x:c r="G3" s="41"/>
      <x:c r="H3" s="41"/>
      <x:c r="I3" s="41"/>
      <x:c r="J3" s="73" t="s">
        <x:v>913</x:v>
      </x:c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</x:row>
    <x:row r="4" spans="1:25">
      <x:c r="B4" s="72">
        <x:v>1</x:v>
      </x:c>
      <x:c r="C4" s="72"/>
      <x:c r="D4" s="72"/>
      <x:c r="E4" s="72"/>
      <x:c r="F4" s="41">
        <x:v>2</x:v>
      </x:c>
      <x:c r="G4" s="41"/>
      <x:c r="H4" s="41"/>
      <x:c r="I4" s="41"/>
      <x:c r="J4" s="73">
        <x:v>3</x:v>
      </x:c>
      <x:c r="K4" s="36"/>
      <x:c r="L4" s="36"/>
      <x:c r="M4" s="36"/>
      <x:c r="N4" s="36"/>
      <x:c r="O4" s="36"/>
      <x:c r="P4" s="36"/>
      <x:c r="Q4" s="36"/>
      <x:c r="R4" s="36"/>
      <x:c r="S4" s="36"/>
      <x:c r="T4" s="36"/>
      <x:c r="U4" s="36"/>
      <x:c r="V4" s="36"/>
      <x:c r="W4" s="36"/>
      <x:c r="X4" s="36"/>
      <x:c r="Y4" s="36"/>
    </x:row>
    <x:row r="5" spans="1:25" ht="53.25" customHeight="1">
      <x:c r="B5" s="74" t="s">
        <x:v>914</x:v>
      </x:c>
      <x:c r="C5" s="74"/>
      <x:c r="D5" s="74"/>
      <x:c r="E5" s="74"/>
      <x:c r="F5" s="75" t="s">
        <x:v>875</x:v>
      </x:c>
      <x:c r="G5" s="75"/>
      <x:c r="H5" s="75"/>
      <x:c r="I5" s="75"/>
      <x:c r="J5" s="76">
        <x:v>0</x:v>
      </x:c>
      <x:c r="K5" s="36"/>
      <x:c r="L5" s="36"/>
      <x:c r="M5" s="36"/>
      <x:c r="N5" s="36"/>
      <x:c r="O5" s="36"/>
      <x:c r="P5" s="36"/>
      <x:c r="Q5" s="36"/>
      <x:c r="R5" s="36"/>
      <x:c r="S5" s="36"/>
      <x:c r="T5" s="36"/>
      <x:c r="U5" s="36"/>
      <x:c r="V5" s="36"/>
      <x:c r="W5" s="36"/>
      <x:c r="X5" s="36"/>
      <x:c r="Y5" s="36"/>
    </x:row>
    <x:row r="6" spans="1:25" ht="15" customHeight="1">
      <x:c r="B6" s="74" t="s">
        <x:v>915</x:v>
      </x:c>
      <x:c r="C6" s="74"/>
      <x:c r="D6" s="74"/>
      <x:c r="E6" s="74"/>
      <x:c r="F6" s="77"/>
      <x:c r="G6" s="77"/>
      <x:c r="H6" s="77"/>
      <x:c r="I6" s="77"/>
      <x:c r="J6" s="78"/>
      <x:c r="K6" s="36"/>
      <x:c r="L6" s="36"/>
      <x:c r="M6" s="36"/>
      <x:c r="N6" s="36"/>
      <x:c r="O6" s="36"/>
      <x:c r="P6" s="36"/>
      <x:c r="Q6" s="36"/>
      <x:c r="R6" s="36"/>
      <x:c r="S6" s="36"/>
      <x:c r="T6" s="36"/>
      <x:c r="U6" s="36"/>
      <x:c r="V6" s="36"/>
      <x:c r="W6" s="36"/>
      <x:c r="X6" s="36"/>
      <x:c r="Y6" s="36"/>
    </x:row>
    <x:row r="7" spans="1:25">
      <x:c r="B7" s="79" t="s">
        <x:v>916</x:v>
      </x:c>
      <x:c r="C7" s="34" t="s">
        <x:v>917</x:v>
      </x:c>
      <x:c r="D7" s="80" t="s">
        <x:v>6</x:v>
      </x:c>
      <x:c r="E7" s="29"/>
      <x:c r="F7" s="81" t="s">
        <x:v>877</x:v>
      </x:c>
      <x:c r="G7" s="81"/>
      <x:c r="H7" s="81"/>
      <x:c r="I7" s="81"/>
      <x:c r="J7" s="76">
        <x:v>0</x:v>
      </x:c>
      <x:c r="K7" s="36"/>
      <x:c r="L7" s="36"/>
      <x:c r="M7" s="36"/>
      <x:c r="N7" s="36"/>
      <x:c r="O7" s="36"/>
      <x:c r="P7" s="36"/>
      <x:c r="Q7" s="36"/>
      <x:c r="R7" s="36"/>
      <x:c r="S7" s="36"/>
      <x:c r="T7" s="36"/>
      <x:c r="U7" s="36"/>
      <x:c r="V7" s="36"/>
      <x:c r="W7" s="36"/>
      <x:c r="X7" s="36"/>
      <x:c r="Y7" s="36"/>
    </x:row>
    <x:row r="8" spans="1:25" ht="3.75" customHeight="1">
      <x:c r="B8" s="82"/>
      <x:c r="C8" s="83"/>
      <x:c r="D8" s="30"/>
      <x:c r="E8" s="30"/>
      <x:c r="F8" s="84"/>
      <x:c r="G8" s="54"/>
      <x:c r="H8" s="54"/>
      <x:c r="I8" s="54"/>
      <x:c r="J8" s="85"/>
      <x:c r="K8" s="36"/>
      <x:c r="L8" s="36"/>
      <x:c r="M8" s="36"/>
      <x:c r="N8" s="36"/>
      <x:c r="O8" s="36"/>
      <x:c r="P8" s="36"/>
      <x:c r="Q8" s="36"/>
      <x:c r="R8" s="36"/>
      <x:c r="S8" s="36"/>
      <x:c r="T8" s="36"/>
      <x:c r="U8" s="36"/>
      <x:c r="V8" s="36"/>
      <x:c r="W8" s="36"/>
      <x:c r="X8" s="36"/>
      <x:c r="Y8" s="36"/>
    </x:row>
    <x:row r="9" spans="1:25">
      <x:c r="B9" s="79" t="s">
        <x:v>916</x:v>
      </x:c>
      <x:c r="C9" s="34"/>
      <x:c r="D9" s="80" t="s">
        <x:v>6</x:v>
      </x:c>
      <x:c r="E9" s="29"/>
      <x:c r="F9" s="81" t="s">
        <x:v>879</x:v>
      </x:c>
      <x:c r="G9" s="81"/>
      <x:c r="H9" s="81"/>
      <x:c r="I9" s="81"/>
      <x:c r="J9" s="78"/>
      <x:c r="K9" s="36"/>
      <x:c r="L9" s="36"/>
      <x:c r="M9" s="36"/>
      <x:c r="N9" s="36"/>
      <x:c r="O9" s="36"/>
      <x:c r="P9" s="36"/>
      <x:c r="Q9" s="36"/>
      <x:c r="R9" s="36"/>
      <x:c r="S9" s="36"/>
      <x:c r="T9" s="36"/>
      <x:c r="U9" s="36"/>
      <x:c r="V9" s="36"/>
      <x:c r="W9" s="36"/>
      <x:c r="X9" s="36"/>
      <x:c r="Y9" s="36"/>
    </x:row>
    <x:row r="10" spans="1:25" ht="3.75" customHeight="1">
      <x:c r="B10" s="82"/>
      <x:c r="C10" s="83"/>
      <x:c r="D10" s="30"/>
      <x:c r="E10" s="30"/>
      <x:c r="F10" s="84"/>
      <x:c r="G10" s="54"/>
      <x:c r="H10" s="54"/>
      <x:c r="I10" s="54"/>
      <x:c r="J10" s="85"/>
      <x:c r="K10" s="36"/>
      <x:c r="L10" s="36"/>
      <x:c r="M10" s="36"/>
      <x:c r="N10" s="36"/>
      <x:c r="O10" s="36"/>
      <x:c r="P10" s="36"/>
      <x:c r="Q10" s="36"/>
      <x:c r="R10" s="36"/>
      <x:c r="S10" s="36"/>
      <x:c r="T10" s="36"/>
      <x:c r="U10" s="36"/>
      <x:c r="V10" s="36"/>
      <x:c r="W10" s="36"/>
      <x:c r="X10" s="36"/>
      <x:c r="Y10" s="36"/>
    </x:row>
    <x:row r="11" spans="1:25">
      <x:c r="B11" s="79" t="s">
        <x:v>916</x:v>
      </x:c>
      <x:c r="C11" s="34"/>
      <x:c r="D11" s="80" t="s">
        <x:v>6</x:v>
      </x:c>
      <x:c r="E11" s="29"/>
      <x:c r="F11" s="81" t="s">
        <x:v>884</x:v>
      </x:c>
      <x:c r="G11" s="81"/>
      <x:c r="H11" s="81"/>
      <x:c r="I11" s="81"/>
      <x:c r="J11" s="78"/>
      <x:c r="K11" s="36"/>
      <x:c r="L11" s="36"/>
      <x:c r="M11" s="36"/>
      <x:c r="N11" s="36"/>
      <x:c r="O11" s="36"/>
      <x:c r="P11" s="36"/>
      <x:c r="Q11" s="36"/>
      <x:c r="R11" s="36"/>
      <x:c r="S11" s="36"/>
      <x:c r="T11" s="36"/>
      <x:c r="U11" s="36"/>
      <x:c r="V11" s="36"/>
      <x:c r="W11" s="36"/>
      <x:c r="X11" s="36"/>
      <x:c r="Y11" s="36"/>
    </x:row>
    <x:row r="12" spans="1:25" ht="3.75" customHeight="1">
      <x:c r="B12" s="82"/>
      <x:c r="C12" s="83"/>
      <x:c r="D12" s="30"/>
      <x:c r="E12" s="30"/>
      <x:c r="F12" s="84"/>
      <x:c r="G12" s="54"/>
      <x:c r="H12" s="54"/>
      <x:c r="I12" s="54"/>
      <x:c r="J12" s="85"/>
      <x:c r="K12" s="36"/>
      <x:c r="L12" s="36"/>
      <x:c r="M12" s="36"/>
      <x:c r="N12" s="36"/>
      <x:c r="O12" s="36"/>
      <x:c r="P12" s="36"/>
      <x:c r="Q12" s="36"/>
      <x:c r="R12" s="36"/>
      <x:c r="S12" s="36"/>
      <x:c r="T12" s="36"/>
      <x:c r="U12" s="36"/>
      <x:c r="V12" s="36"/>
      <x:c r="W12" s="36"/>
      <x:c r="X12" s="36"/>
      <x:c r="Y12" s="36"/>
    </x:row>
    <x:row r="13" spans="1:25">
      <x:c r="B13" s="79" t="s">
        <x:v>916</x:v>
      </x:c>
      <x:c r="C13" s="34"/>
      <x:c r="D13" s="80" t="s">
        <x:v>6</x:v>
      </x:c>
      <x:c r="E13" s="29"/>
      <x:c r="F13" s="81" t="s">
        <x:v>918</x:v>
      </x:c>
      <x:c r="G13" s="81"/>
      <x:c r="H13" s="81"/>
      <x:c r="I13" s="81"/>
      <x:c r="J13" s="78"/>
      <x:c r="K13" s="36"/>
      <x:c r="L13" s="36"/>
      <x:c r="M13" s="36"/>
      <x:c r="N13" s="36"/>
      <x:c r="O13" s="36"/>
      <x:c r="P13" s="36"/>
      <x:c r="Q13" s="36"/>
      <x:c r="R13" s="36"/>
      <x:c r="S13" s="36"/>
      <x:c r="T13" s="36"/>
      <x:c r="U13" s="36"/>
      <x:c r="V13" s="36"/>
      <x:c r="W13" s="36"/>
      <x:c r="X13" s="36"/>
      <x:c r="Y13" s="36"/>
    </x:row>
    <x:row r="14" spans="1:25" ht="3.75" customHeight="1">
      <x:c r="B14" s="82"/>
      <x:c r="C14" s="83"/>
      <x:c r="D14" s="30"/>
      <x:c r="E14" s="30"/>
      <x:c r="F14" s="84"/>
      <x:c r="G14" s="54"/>
      <x:c r="H14" s="54"/>
      <x:c r="I14" s="54"/>
      <x:c r="J14" s="85"/>
      <x:c r="K14" s="36"/>
      <x:c r="L14" s="36"/>
      <x:c r="M14" s="36"/>
      <x:c r="N14" s="36"/>
      <x:c r="O14" s="36"/>
      <x:c r="P14" s="36"/>
      <x:c r="Q14" s="36"/>
      <x:c r="R14" s="36"/>
      <x:c r="S14" s="36"/>
      <x:c r="T14" s="36"/>
      <x:c r="U14" s="36"/>
      <x:c r="V14" s="36"/>
      <x:c r="W14" s="36"/>
      <x:c r="X14" s="36"/>
      <x:c r="Y14" s="36"/>
    </x:row>
    <x:row r="15" spans="1:25">
      <x:c r="B15" s="79" t="s">
        <x:v>916</x:v>
      </x:c>
      <x:c r="C15" s="34"/>
      <x:c r="D15" s="80" t="s">
        <x:v>6</x:v>
      </x:c>
      <x:c r="E15" s="29"/>
      <x:c r="F15" s="81" t="s">
        <x:v>919</x:v>
      </x:c>
      <x:c r="G15" s="81"/>
      <x:c r="H15" s="81"/>
      <x:c r="I15" s="81"/>
      <x:c r="J15" s="78"/>
      <x:c r="K15" s="36"/>
      <x:c r="L15" s="36"/>
      <x:c r="M15" s="36"/>
      <x:c r="N15" s="36"/>
      <x:c r="O15" s="36"/>
      <x:c r="P15" s="36"/>
      <x:c r="Q15" s="36"/>
      <x:c r="R15" s="36"/>
      <x:c r="S15" s="36"/>
      <x:c r="T15" s="36"/>
      <x:c r="U15" s="36"/>
      <x:c r="V15" s="36"/>
      <x:c r="W15" s="36"/>
      <x:c r="X15" s="36"/>
      <x:c r="Y15" s="36"/>
    </x:row>
    <x:row r="16" spans="1:25" ht="3.75" customHeight="1">
      <x:c r="B16" s="82"/>
      <x:c r="C16" s="83"/>
      <x:c r="D16" s="30"/>
      <x:c r="E16" s="30"/>
      <x:c r="F16" s="84"/>
      <x:c r="G16" s="54"/>
      <x:c r="H16" s="54"/>
      <x:c r="I16" s="54"/>
      <x:c r="J16" s="85"/>
      <x:c r="K16" s="36"/>
      <x:c r="L16" s="36"/>
      <x:c r="M16" s="36"/>
      <x:c r="N16" s="36"/>
      <x:c r="O16" s="36"/>
      <x:c r="P16" s="36"/>
      <x:c r="Q16" s="36"/>
      <x:c r="R16" s="36"/>
      <x:c r="S16" s="36"/>
      <x:c r="T16" s="36"/>
      <x:c r="U16" s="36"/>
      <x:c r="V16" s="36"/>
      <x:c r="W16" s="36"/>
      <x:c r="X16" s="36"/>
      <x:c r="Y16" s="36"/>
    </x:row>
    <x:row r="17" spans="1:25">
      <x:c r="B17" s="79" t="s">
        <x:v>916</x:v>
      </x:c>
      <x:c r="C17" s="34"/>
      <x:c r="D17" s="80" t="s">
        <x:v>6</x:v>
      </x:c>
      <x:c r="E17" s="29"/>
      <x:c r="F17" s="81" t="s">
        <x:v>920</x:v>
      </x:c>
      <x:c r="G17" s="81"/>
      <x:c r="H17" s="81"/>
      <x:c r="I17" s="81"/>
      <x:c r="J17" s="78"/>
      <x:c r="K17" s="36"/>
      <x:c r="L17" s="36"/>
      <x:c r="M17" s="36"/>
      <x:c r="N17" s="36"/>
      <x:c r="O17" s="36"/>
      <x:c r="P17" s="36"/>
      <x:c r="Q17" s="36"/>
      <x:c r="R17" s="36"/>
      <x:c r="S17" s="36"/>
      <x:c r="T17" s="36"/>
      <x:c r="U17" s="36"/>
      <x:c r="V17" s="36"/>
      <x:c r="W17" s="36"/>
      <x:c r="X17" s="36"/>
      <x:c r="Y17" s="36"/>
    </x:row>
    <x:row r="18" spans="1:25" ht="3.75" customHeight="1">
      <x:c r="B18" s="82"/>
      <x:c r="C18" s="83"/>
      <x:c r="D18" s="30"/>
      <x:c r="E18" s="30"/>
      <x:c r="F18" s="84"/>
      <x:c r="G18" s="54"/>
      <x:c r="H18" s="54"/>
      <x:c r="I18" s="54"/>
      <x:c r="J18" s="85"/>
      <x:c r="K18" s="36"/>
      <x:c r="L18" s="36"/>
      <x:c r="M18" s="36"/>
      <x:c r="N18" s="36"/>
      <x:c r="O18" s="36"/>
      <x:c r="P18" s="36"/>
      <x:c r="Q18" s="36"/>
      <x:c r="R18" s="36"/>
      <x:c r="S18" s="36"/>
      <x:c r="T18" s="36"/>
      <x:c r="U18" s="36"/>
      <x:c r="V18" s="36"/>
      <x:c r="W18" s="36"/>
      <x:c r="X18" s="36"/>
      <x:c r="Y18" s="36"/>
    </x:row>
    <x:row r="19" spans="1:25">
      <x:c r="B19" s="79" t="s">
        <x:v>916</x:v>
      </x:c>
      <x:c r="C19" s="34"/>
      <x:c r="D19" s="80" t="s">
        <x:v>6</x:v>
      </x:c>
      <x:c r="E19" s="29"/>
      <x:c r="F19" s="81" t="s">
        <x:v>921</x:v>
      </x:c>
      <x:c r="G19" s="81"/>
      <x:c r="H19" s="81"/>
      <x:c r="I19" s="81"/>
      <x:c r="J19" s="78"/>
      <x:c r="K19" s="36"/>
      <x:c r="L19" s="36"/>
      <x:c r="M19" s="36"/>
      <x:c r="N19" s="36"/>
      <x:c r="O19" s="36"/>
      <x:c r="P19" s="36"/>
      <x:c r="Q19" s="36"/>
      <x:c r="R19" s="36"/>
      <x:c r="S19" s="36"/>
      <x:c r="T19" s="36"/>
      <x:c r="U19" s="36"/>
      <x:c r="V19" s="36"/>
      <x:c r="W19" s="36"/>
      <x:c r="X19" s="36"/>
      <x:c r="Y19" s="36"/>
    </x:row>
    <x:row r="20" spans="1:25" ht="3.75" customHeight="1">
      <x:c r="B20" s="82"/>
      <x:c r="C20" s="83"/>
      <x:c r="D20" s="30"/>
      <x:c r="E20" s="30"/>
      <x:c r="F20" s="84"/>
      <x:c r="G20" s="54"/>
      <x:c r="H20" s="54"/>
      <x:c r="I20" s="54"/>
      <x:c r="J20" s="85"/>
      <x:c r="K20" s="36"/>
      <x:c r="L20" s="36"/>
      <x:c r="M20" s="36"/>
      <x:c r="N20" s="36"/>
      <x:c r="O20" s="36"/>
      <x:c r="P20" s="36"/>
      <x:c r="Q20" s="36"/>
      <x:c r="R20" s="36"/>
      <x:c r="S20" s="36"/>
      <x:c r="T20" s="36"/>
      <x:c r="U20" s="36"/>
      <x:c r="V20" s="36"/>
      <x:c r="W20" s="36"/>
      <x:c r="X20" s="36"/>
      <x:c r="Y20" s="36"/>
    </x:row>
    <x:row r="21" spans="1:25">
      <x:c r="B21" s="79" t="s">
        <x:v>916</x:v>
      </x:c>
      <x:c r="C21" s="34"/>
      <x:c r="D21" s="80" t="s">
        <x:v>6</x:v>
      </x:c>
      <x:c r="E21" s="29"/>
      <x:c r="F21" s="81" t="s">
        <x:v>922</x:v>
      </x:c>
      <x:c r="G21" s="81"/>
      <x:c r="H21" s="81"/>
      <x:c r="I21" s="81"/>
      <x:c r="J21" s="78"/>
      <x:c r="K21" s="36"/>
      <x:c r="L21" s="36"/>
      <x:c r="M21" s="36"/>
      <x:c r="N21" s="36"/>
      <x:c r="O21" s="36"/>
      <x:c r="P21" s="36"/>
      <x:c r="Q21" s="36"/>
      <x:c r="R21" s="36"/>
      <x:c r="S21" s="36"/>
      <x:c r="T21" s="36"/>
      <x:c r="U21" s="36"/>
      <x:c r="V21" s="36"/>
      <x:c r="W21" s="36"/>
      <x:c r="X21" s="36"/>
      <x:c r="Y21" s="36"/>
    </x:row>
    <x:row r="22" spans="1:25" ht="3.75" customHeight="1">
      <x:c r="B22" s="82"/>
      <x:c r="C22" s="83"/>
      <x:c r="D22" s="30"/>
      <x:c r="E22" s="30"/>
      <x:c r="F22" s="84"/>
      <x:c r="G22" s="54"/>
      <x:c r="H22" s="54"/>
      <x:c r="I22" s="54"/>
      <x:c r="J22" s="85"/>
      <x:c r="K22" s="36"/>
      <x:c r="L22" s="36"/>
      <x:c r="M22" s="36"/>
      <x:c r="N22" s="36"/>
      <x:c r="O22" s="36"/>
      <x:c r="P22" s="36"/>
      <x:c r="Q22" s="36"/>
      <x:c r="R22" s="36"/>
      <x:c r="S22" s="36"/>
      <x:c r="T22" s="36"/>
      <x:c r="U22" s="36"/>
      <x:c r="V22" s="36"/>
      <x:c r="W22" s="36"/>
      <x:c r="X22" s="36"/>
      <x:c r="Y22" s="36"/>
    </x:row>
    <x:row r="23" spans="1:25">
      <x:c r="B23" s="79" t="s">
        <x:v>916</x:v>
      </x:c>
      <x:c r="C23" s="34"/>
      <x:c r="D23" s="80" t="s">
        <x:v>6</x:v>
      </x:c>
      <x:c r="E23" s="29"/>
      <x:c r="F23" s="81" t="s">
        <x:v>923</x:v>
      </x:c>
      <x:c r="G23" s="81"/>
      <x:c r="H23" s="81"/>
      <x:c r="I23" s="81"/>
      <x:c r="J23" s="78"/>
      <x:c r="K23" s="36"/>
      <x:c r="L23" s="36"/>
      <x:c r="M23" s="36"/>
      <x:c r="N23" s="36"/>
      <x:c r="O23" s="36"/>
      <x:c r="P23" s="36"/>
      <x:c r="Q23" s="36"/>
      <x:c r="R23" s="36"/>
      <x:c r="S23" s="36"/>
      <x:c r="T23" s="36"/>
      <x:c r="U23" s="36"/>
      <x:c r="V23" s="36"/>
      <x:c r="W23" s="36"/>
      <x:c r="X23" s="36"/>
      <x:c r="Y23" s="36"/>
    </x:row>
    <x:row r="24" spans="1:25" ht="3.75" customHeight="1">
      <x:c r="B24" s="82"/>
      <x:c r="C24" s="83"/>
      <x:c r="D24" s="30"/>
      <x:c r="E24" s="30"/>
      <x:c r="F24" s="84"/>
      <x:c r="G24" s="54"/>
      <x:c r="H24" s="54"/>
      <x:c r="I24" s="54"/>
      <x:c r="J24" s="85"/>
      <x:c r="K24" s="36"/>
      <x:c r="L24" s="36"/>
      <x:c r="M24" s="36"/>
      <x:c r="N24" s="36"/>
      <x:c r="O24" s="36"/>
      <x:c r="P24" s="36"/>
      <x:c r="Q24" s="36"/>
      <x:c r="R24" s="36"/>
      <x:c r="S24" s="36"/>
      <x:c r="T24" s="36"/>
      <x:c r="U24" s="36"/>
      <x:c r="V24" s="36"/>
      <x:c r="W24" s="36"/>
      <x:c r="X24" s="36"/>
      <x:c r="Y24" s="36"/>
    </x:row>
    <x:row r="25" spans="1:25">
      <x:c r="B25" s="79" t="s">
        <x:v>916</x:v>
      </x:c>
      <x:c r="C25" s="34"/>
      <x:c r="D25" s="80" t="s">
        <x:v>6</x:v>
      </x:c>
      <x:c r="E25" s="29"/>
      <x:c r="F25" s="81" t="s">
        <x:v>924</x:v>
      </x:c>
      <x:c r="G25" s="81"/>
      <x:c r="H25" s="81"/>
      <x:c r="I25" s="81"/>
      <x:c r="J25" s="78"/>
      <x:c r="K25" s="36"/>
      <x:c r="L25" s="36"/>
      <x:c r="M25" s="36"/>
      <x:c r="N25" s="36"/>
      <x:c r="O25" s="36"/>
      <x:c r="P25" s="36"/>
      <x:c r="Q25" s="36"/>
      <x:c r="R25" s="36"/>
      <x:c r="S25" s="36"/>
      <x:c r="T25" s="36"/>
      <x:c r="U25" s="36"/>
      <x:c r="V25" s="36"/>
      <x:c r="W25" s="36"/>
      <x:c r="X25" s="36"/>
      <x:c r="Y25" s="36"/>
    </x:row>
    <x:row r="26" spans="1:25" ht="3.75" customHeight="1">
      <x:c r="B26" s="86"/>
      <x:c r="C26" s="83"/>
      <x:c r="D26" s="87"/>
      <x:c r="E26" s="30"/>
      <x:c r="F26" s="84"/>
      <x:c r="G26" s="54"/>
      <x:c r="H26" s="54"/>
      <x:c r="I26" s="54"/>
      <x:c r="J26" s="85"/>
      <x:c r="K26" s="36"/>
      <x:c r="L26" s="36"/>
      <x:c r="M26" s="36"/>
      <x:c r="N26" s="36"/>
      <x:c r="O26" s="36"/>
      <x:c r="P26" s="36"/>
      <x:c r="Q26" s="36"/>
      <x:c r="R26" s="36"/>
      <x:c r="S26" s="36"/>
      <x:c r="T26" s="36"/>
      <x:c r="U26" s="36"/>
      <x:c r="V26" s="36"/>
      <x:c r="W26" s="36"/>
      <x:c r="X26" s="36"/>
      <x:c r="Y26" s="36"/>
    </x:row>
    <x:row r="27" spans="1:25" ht="42.75" customHeight="1">
      <x:c r="B27" s="88" t="s">
        <x:v>925</x:v>
      </x:c>
      <x:c r="C27" s="88"/>
      <x:c r="D27" s="88"/>
      <x:c r="E27" s="88"/>
      <x:c r="F27" s="89" t="s">
        <x:v>926</x:v>
      </x:c>
      <x:c r="G27" s="89"/>
      <x:c r="H27" s="89"/>
      <x:c r="I27" s="89"/>
      <x:c r="J27" s="78" t="e">
        <x:f>'Доходы и расходы за 4 квартал'!$AA$4</x:f>
        <x:v>#NAME?</x:v>
      </x:c>
      <x:c r="K27" s="36"/>
      <x:c r="L27" s="36"/>
      <x:c r="M27" s="36"/>
      <x:c r="N27" s="36"/>
      <x:c r="O27" s="36"/>
      <x:c r="P27" s="36"/>
      <x:c r="Q27" s="36"/>
      <x:c r="R27" s="36"/>
      <x:c r="S27" s="36"/>
      <x:c r="T27" s="36"/>
      <x:c r="U27" s="36"/>
      <x:c r="V27" s="36"/>
      <x:c r="W27" s="36"/>
      <x:c r="X27" s="36"/>
      <x:c r="Y27" s="36"/>
    </x:row>
    <x:row r="28" spans="1:25" ht="45.75" customHeight="1">
      <x:c r="B28" s="90" t="s">
        <x:v>927</x:v>
      </x:c>
      <x:c r="C28" s="90"/>
      <x:c r="D28" s="90"/>
      <x:c r="E28" s="90"/>
      <x:c r="F28" s="75" t="s">
        <x:v>928</x:v>
      </x:c>
      <x:c r="G28" s="75"/>
      <x:c r="H28" s="75"/>
      <x:c r="I28" s="75"/>
      <x:c r="J28" s="76">
        <x:v>0</x:v>
      </x:c>
      <x:c r="K28" s="36"/>
      <x:c r="L28" s="36"/>
      <x:c r="M28" s="36"/>
      <x:c r="N28" s="36"/>
      <x:c r="O28" s="36"/>
      <x:c r="P28" s="36"/>
      <x:c r="Q28" s="36"/>
      <x:c r="R28" s="36"/>
      <x:c r="S28" s="36"/>
      <x:c r="T28" s="36"/>
      <x:c r="U28" s="36"/>
      <x:c r="V28" s="36"/>
      <x:c r="W28" s="36"/>
      <x:c r="X28" s="36"/>
      <x:c r="Y28" s="36"/>
    </x:row>
    <x:row r="29" spans="1:25" ht="34.5" customHeight="1">
      <x:c r="B29" s="90" t="s">
        <x:v>929</x:v>
      </x:c>
      <x:c r="C29" s="90"/>
      <x:c r="D29" s="90"/>
      <x:c r="E29" s="90"/>
      <x:c r="F29" s="75" t="s">
        <x:v>930</x:v>
      </x:c>
      <x:c r="G29" s="75"/>
      <x:c r="H29" s="75"/>
      <x:c r="I29" s="75"/>
      <x:c r="J29" s="78" t="e">
        <x:f>'Доходы и расходы за 4 квартал'!$AB$4</x:f>
        <x:v>#NAME?</x:v>
      </x:c>
      <x:c r="K29" s="36"/>
      <x:c r="L29" s="36"/>
      <x:c r="M29" s="36"/>
      <x:c r="N29" s="36"/>
      <x:c r="O29" s="36"/>
      <x:c r="P29" s="36"/>
      <x:c r="Q29" s="36"/>
      <x:c r="R29" s="36"/>
      <x:c r="S29" s="36"/>
      <x:c r="T29" s="36"/>
      <x:c r="U29" s="36"/>
      <x:c r="V29" s="36"/>
      <x:c r="W29" s="36"/>
      <x:c r="X29" s="36"/>
      <x:c r="Y29" s="36"/>
    </x:row>
    <x:row r="30" spans="1:25" ht="39" customHeight="1">
      <x:c r="B30" s="90" t="s">
        <x:v>931</x:v>
      </x:c>
      <x:c r="C30" s="90"/>
      <x:c r="D30" s="90"/>
      <x:c r="E30" s="90"/>
      <x:c r="F30" s="75" t="s">
        <x:v>932</x:v>
      </x:c>
      <x:c r="G30" s="75"/>
      <x:c r="H30" s="75"/>
      <x:c r="I30" s="75"/>
      <x:c r="J30" s="78" t="e">
        <x:f>IF(ISNUMBER(J5),J5,0) - IF(ISNUMBER(J28),J28,0) + J29</x:f>
        <x:v>#NAME?</x:v>
      </x:c>
      <x:c r="K30" s="36"/>
      <x:c r="L30" s="36"/>
      <x:c r="M30" s="36"/>
      <x:c r="N30" s="36"/>
      <x:c r="O30" s="36"/>
      <x:c r="P30" s="36"/>
      <x:c r="Q30" s="36"/>
      <x:c r="R30" s="36"/>
      <x:c r="S30" s="36"/>
      <x:c r="T30" s="36"/>
      <x:c r="U30" s="36"/>
      <x:c r="V30" s="36"/>
      <x:c r="W30" s="36"/>
      <x:c r="X30" s="36"/>
      <x:c r="Y30" s="36"/>
    </x:row>
    <x:row r="31" spans="1:25" ht="15" customHeight="1">
      <x:c r="B31" s="90" t="s">
        <x:v>915</x:v>
      </x:c>
      <x:c r="C31" s="90"/>
      <x:c r="D31" s="90"/>
      <x:c r="E31" s="90"/>
      <x:c r="F31" s="77"/>
      <x:c r="G31" s="77"/>
      <x:c r="H31" s="77"/>
      <x:c r="I31" s="77"/>
      <x:c r="J31" s="78"/>
      <x:c r="K31" s="36"/>
      <x:c r="L31" s="36"/>
      <x:c r="M31" s="36"/>
      <x:c r="N31" s="36"/>
      <x:c r="O31" s="36"/>
      <x:c r="P31" s="36"/>
      <x:c r="Q31" s="36"/>
      <x:c r="R31" s="36"/>
      <x:c r="S31" s="36"/>
      <x:c r="T31" s="36"/>
      <x:c r="U31" s="36"/>
      <x:c r="V31" s="36"/>
      <x:c r="W31" s="36"/>
      <x:c r="X31" s="36"/>
      <x:c r="Y31" s="36"/>
    </x:row>
    <x:row r="32" spans="1:25">
      <x:c r="B32" s="79" t="s">
        <x:v>916</x:v>
      </x:c>
      <x:c r="C32" s="34" t="s">
        <x:v>5</x:v>
      </x:c>
      <x:c r="D32" s="80" t="s">
        <x:v>6</x:v>
      </x:c>
      <x:c r="E32" s="29"/>
      <x:c r="F32" s="81" t="s">
        <x:v>933</x:v>
      </x:c>
      <x:c r="G32" s="81"/>
      <x:c r="H32" s="81"/>
      <x:c r="I32" s="81"/>
      <x:c r="J32" s="78" t="e">
        <x:f>J30</x:f>
        <x:v>#NAME?</x:v>
      </x:c>
      <x:c r="K32" s="36"/>
      <x:c r="L32" s="36"/>
      <x:c r="M32" s="36"/>
      <x:c r="N32" s="36"/>
      <x:c r="O32" s="36"/>
      <x:c r="P32" s="36"/>
      <x:c r="Q32" s="36"/>
      <x:c r="R32" s="36"/>
      <x:c r="S32" s="36"/>
      <x:c r="T32" s="36"/>
      <x:c r="U32" s="36"/>
      <x:c r="V32" s="36"/>
      <x:c r="W32" s="36"/>
      <x:c r="X32" s="36"/>
      <x:c r="Y32" s="36"/>
    </x:row>
    <x:row r="33" spans="1:25" ht="3.75" customHeight="1">
      <x:c r="B33" s="82"/>
      <x:c r="C33" s="83"/>
      <x:c r="D33" s="30"/>
      <x:c r="E33" s="30"/>
      <x:c r="F33" s="84"/>
      <x:c r="G33" s="54"/>
      <x:c r="H33" s="54"/>
      <x:c r="I33" s="54"/>
      <x:c r="J33" s="85"/>
      <x:c r="K33" s="36"/>
      <x:c r="L33" s="36"/>
      <x:c r="M33" s="36"/>
      <x:c r="N33" s="36"/>
      <x:c r="O33" s="36"/>
      <x:c r="P33" s="36"/>
      <x:c r="Q33" s="36"/>
      <x:c r="R33" s="36"/>
      <x:c r="S33" s="36"/>
      <x:c r="T33" s="36"/>
      <x:c r="U33" s="36"/>
      <x:c r="V33" s="36"/>
      <x:c r="W33" s="36"/>
      <x:c r="X33" s="36"/>
      <x:c r="Y33" s="36"/>
    </x:row>
    <x:row r="34" spans="1:25">
      <x:c r="B34" s="79" t="s">
        <x:v>916</x:v>
      </x:c>
      <x:c r="C34" s="34"/>
      <x:c r="D34" s="80" t="s">
        <x:v>6</x:v>
      </x:c>
      <x:c r="E34" s="29"/>
      <x:c r="F34" s="81" t="s">
        <x:v>934</x:v>
      </x:c>
      <x:c r="G34" s="81"/>
      <x:c r="H34" s="81"/>
      <x:c r="I34" s="81"/>
      <x:c r="J34" s="78"/>
      <x:c r="K34" s="36"/>
      <x:c r="L34" s="36"/>
      <x:c r="M34" s="36"/>
      <x:c r="N34" s="36"/>
      <x:c r="O34" s="36"/>
      <x:c r="P34" s="36"/>
      <x:c r="Q34" s="36"/>
      <x:c r="R34" s="36"/>
      <x:c r="S34" s="36"/>
      <x:c r="T34" s="36"/>
      <x:c r="U34" s="36"/>
      <x:c r="V34" s="36"/>
      <x:c r="W34" s="36"/>
      <x:c r="X34" s="36"/>
      <x:c r="Y34" s="36"/>
    </x:row>
    <x:row r="35" spans="1:25" ht="3.75" customHeight="1">
      <x:c r="B35" s="82"/>
      <x:c r="C35" s="83"/>
      <x:c r="D35" s="30"/>
      <x:c r="E35" s="30"/>
      <x:c r="F35" s="84"/>
      <x:c r="G35" s="54"/>
      <x:c r="H35" s="54"/>
      <x:c r="I35" s="54"/>
      <x:c r="J35" s="85"/>
      <x:c r="K35" s="36"/>
      <x:c r="L35" s="36"/>
      <x:c r="M35" s="36"/>
      <x:c r="N35" s="36"/>
      <x:c r="O35" s="36"/>
      <x:c r="P35" s="36"/>
      <x:c r="Q35" s="36"/>
      <x:c r="R35" s="36"/>
      <x:c r="S35" s="36"/>
      <x:c r="T35" s="36"/>
      <x:c r="U35" s="36"/>
      <x:c r="V35" s="36"/>
      <x:c r="W35" s="36"/>
      <x:c r="X35" s="36"/>
      <x:c r="Y35" s="36"/>
    </x:row>
    <x:row r="36" spans="1:25">
      <x:c r="B36" s="79" t="s">
        <x:v>916</x:v>
      </x:c>
      <x:c r="C36" s="34"/>
      <x:c r="D36" s="80" t="s">
        <x:v>6</x:v>
      </x:c>
      <x:c r="E36" s="29"/>
      <x:c r="F36" s="81" t="s">
        <x:v>935</x:v>
      </x:c>
      <x:c r="G36" s="81"/>
      <x:c r="H36" s="81"/>
      <x:c r="I36" s="81"/>
      <x:c r="J36" s="78"/>
      <x:c r="K36" s="36"/>
      <x:c r="L36" s="36"/>
      <x:c r="M36" s="36"/>
      <x:c r="N36" s="36"/>
      <x:c r="O36" s="36"/>
      <x:c r="P36" s="36"/>
      <x:c r="Q36" s="36"/>
      <x:c r="R36" s="36"/>
      <x:c r="S36" s="36"/>
      <x:c r="T36" s="36"/>
      <x:c r="U36" s="36"/>
      <x:c r="V36" s="36"/>
      <x:c r="W36" s="36"/>
      <x:c r="X36" s="36"/>
      <x:c r="Y36" s="36"/>
    </x:row>
    <x:row r="37" spans="1:25" ht="3.75" customHeight="1">
      <x:c r="B37" s="82"/>
      <x:c r="C37" s="83"/>
      <x:c r="D37" s="30"/>
      <x:c r="E37" s="30"/>
      <x:c r="F37" s="84"/>
      <x:c r="G37" s="54"/>
      <x:c r="H37" s="54"/>
      <x:c r="I37" s="54"/>
      <x:c r="J37" s="85"/>
      <x:c r="K37" s="36"/>
      <x:c r="L37" s="36"/>
      <x:c r="M37" s="36"/>
      <x:c r="N37" s="36"/>
      <x:c r="O37" s="36"/>
      <x:c r="P37" s="36"/>
      <x:c r="Q37" s="36"/>
      <x:c r="R37" s="36"/>
      <x:c r="S37" s="36"/>
      <x:c r="T37" s="36"/>
      <x:c r="U37" s="36"/>
      <x:c r="V37" s="36"/>
      <x:c r="W37" s="36"/>
      <x:c r="X37" s="36"/>
      <x:c r="Y37" s="36"/>
    </x:row>
    <x:row r="38" spans="1:25" ht="15" customHeight="1">
      <x:c r="B38" s="91" t="s">
        <x:v>916</x:v>
      </x:c>
      <x:c r="C38" s="31"/>
      <x:c r="D38" s="92" t="s">
        <x:v>6</x:v>
      </x:c>
      <x:c r="E38" s="30"/>
      <x:c r="F38" s="75" t="s">
        <x:v>936</x:v>
      </x:c>
      <x:c r="G38" s="75"/>
      <x:c r="H38" s="75"/>
      <x:c r="I38" s="75"/>
      <x:c r="J38" s="78"/>
      <x:c r="K38" s="36"/>
      <x:c r="L38" s="36"/>
      <x:c r="M38" s="36"/>
      <x:c r="N38" s="36"/>
      <x:c r="O38" s="36"/>
      <x:c r="P38" s="36"/>
      <x:c r="Q38" s="36"/>
      <x:c r="R38" s="36"/>
      <x:c r="S38" s="36"/>
      <x:c r="T38" s="36"/>
      <x:c r="U38" s="36"/>
      <x:c r="V38" s="36"/>
      <x:c r="W38" s="36"/>
      <x:c r="X38" s="36"/>
      <x:c r="Y38" s="36"/>
    </x:row>
    <x:row r="39" spans="1:25" ht="3.75" customHeight="1">
      <x:c r="B39" s="82"/>
      <x:c r="C39" s="83"/>
      <x:c r="D39" s="30"/>
      <x:c r="E39" s="30"/>
      <x:c r="F39" s="84"/>
      <x:c r="G39" s="54"/>
      <x:c r="H39" s="54"/>
      <x:c r="I39" s="54"/>
      <x:c r="J39" s="85"/>
      <x:c r="K39" s="36"/>
      <x:c r="L39" s="36"/>
      <x:c r="M39" s="36"/>
      <x:c r="N39" s="36"/>
      <x:c r="O39" s="36"/>
      <x:c r="P39" s="36"/>
      <x:c r="Q39" s="36"/>
      <x:c r="R39" s="36"/>
      <x:c r="S39" s="36"/>
      <x:c r="T39" s="36"/>
      <x:c r="U39" s="36"/>
      <x:c r="V39" s="36"/>
      <x:c r="W39" s="36"/>
      <x:c r="X39" s="36"/>
      <x:c r="Y39" s="36"/>
    </x:row>
    <x:row r="40" spans="1:25">
      <x:c r="B40" s="79" t="s">
        <x:v>916</x:v>
      </x:c>
      <x:c r="C40" s="34"/>
      <x:c r="D40" s="80" t="s">
        <x:v>6</x:v>
      </x:c>
      <x:c r="E40" s="29"/>
      <x:c r="F40" s="81" t="s">
        <x:v>937</x:v>
      </x:c>
      <x:c r="G40" s="81"/>
      <x:c r="H40" s="81"/>
      <x:c r="I40" s="81"/>
      <x:c r="J40" s="78"/>
      <x:c r="K40" s="36"/>
      <x:c r="L40" s="36"/>
      <x:c r="M40" s="36"/>
      <x:c r="N40" s="36"/>
      <x:c r="O40" s="36"/>
      <x:c r="P40" s="36"/>
      <x:c r="Q40" s="36"/>
      <x:c r="R40" s="36"/>
      <x:c r="S40" s="36"/>
      <x:c r="T40" s="36"/>
      <x:c r="U40" s="36"/>
      <x:c r="V40" s="36"/>
      <x:c r="W40" s="36"/>
      <x:c r="X40" s="36"/>
      <x:c r="Y40" s="36"/>
    </x:row>
    <x:row r="41" spans="1:25" ht="3.75" customHeight="1">
      <x:c r="B41" s="82"/>
      <x:c r="C41" s="83"/>
      <x:c r="D41" s="30"/>
      <x:c r="E41" s="30"/>
      <x:c r="F41" s="84"/>
      <x:c r="G41" s="54"/>
      <x:c r="H41" s="54"/>
      <x:c r="I41" s="54"/>
      <x:c r="J41" s="85"/>
      <x:c r="K41" s="36"/>
      <x:c r="L41" s="36"/>
      <x:c r="M41" s="36"/>
      <x:c r="N41" s="36"/>
      <x:c r="O41" s="36"/>
      <x:c r="P41" s="36"/>
      <x:c r="Q41" s="36"/>
      <x:c r="R41" s="36"/>
      <x:c r="S41" s="36"/>
      <x:c r="T41" s="36"/>
      <x:c r="U41" s="36"/>
      <x:c r="V41" s="36"/>
      <x:c r="W41" s="36"/>
      <x:c r="X41" s="36"/>
      <x:c r="Y41" s="36"/>
    </x:row>
    <x:row r="42" spans="1:25">
      <x:c r="B42" s="79" t="s">
        <x:v>916</x:v>
      </x:c>
      <x:c r="C42" s="34"/>
      <x:c r="D42" s="80" t="s">
        <x:v>6</x:v>
      </x:c>
      <x:c r="E42" s="29"/>
      <x:c r="F42" s="81" t="s">
        <x:v>938</x:v>
      </x:c>
      <x:c r="G42" s="81"/>
      <x:c r="H42" s="81"/>
      <x:c r="I42" s="81"/>
      <x:c r="J42" s="78"/>
      <x:c r="K42" s="36"/>
      <x:c r="L42" s="36"/>
      <x:c r="M42" s="36"/>
      <x:c r="N42" s="36"/>
      <x:c r="O42" s="36"/>
      <x:c r="P42" s="36"/>
      <x:c r="Q42" s="36"/>
      <x:c r="R42" s="36"/>
      <x:c r="S42" s="36"/>
      <x:c r="T42" s="36"/>
      <x:c r="U42" s="36"/>
      <x:c r="V42" s="36"/>
      <x:c r="W42" s="36"/>
      <x:c r="X42" s="36"/>
      <x:c r="Y42" s="36"/>
    </x:row>
    <x:row r="43" spans="1:25" ht="3.75" customHeight="1">
      <x:c r="B43" s="82"/>
      <x:c r="C43" s="83"/>
      <x:c r="D43" s="30"/>
      <x:c r="E43" s="30"/>
      <x:c r="F43" s="84"/>
      <x:c r="G43" s="54"/>
      <x:c r="H43" s="54"/>
      <x:c r="I43" s="54"/>
      <x:c r="J43" s="85"/>
      <x:c r="K43" s="36"/>
      <x:c r="L43" s="36"/>
      <x:c r="M43" s="36"/>
      <x:c r="N43" s="36"/>
      <x:c r="O43" s="36"/>
      <x:c r="P43" s="36"/>
      <x:c r="Q43" s="36"/>
      <x:c r="R43" s="36"/>
      <x:c r="S43" s="36"/>
      <x:c r="T43" s="36"/>
      <x:c r="U43" s="36"/>
      <x:c r="V43" s="36"/>
      <x:c r="W43" s="36"/>
      <x:c r="X43" s="36"/>
      <x:c r="Y43" s="36"/>
    </x:row>
    <x:row r="44" spans="1:25">
      <x:c r="B44" s="79" t="s">
        <x:v>916</x:v>
      </x:c>
      <x:c r="C44" s="34"/>
      <x:c r="D44" s="80" t="s">
        <x:v>6</x:v>
      </x:c>
      <x:c r="E44" s="29"/>
      <x:c r="F44" s="81" t="s">
        <x:v>939</x:v>
      </x:c>
      <x:c r="G44" s="81"/>
      <x:c r="H44" s="81"/>
      <x:c r="I44" s="81"/>
      <x:c r="J44" s="78"/>
      <x:c r="K44" s="36"/>
      <x:c r="L44" s="36"/>
      <x:c r="M44" s="36"/>
      <x:c r="N44" s="36"/>
      <x:c r="O44" s="36"/>
      <x:c r="P44" s="36"/>
      <x:c r="Q44" s="36"/>
      <x:c r="R44" s="36"/>
      <x:c r="S44" s="36"/>
      <x:c r="T44" s="36"/>
      <x:c r="U44" s="36"/>
      <x:c r="V44" s="36"/>
      <x:c r="W44" s="36"/>
      <x:c r="X44" s="36"/>
      <x:c r="Y44" s="36"/>
    </x:row>
    <x:row r="45" spans="1:25" ht="3.75" customHeight="1">
      <x:c r="B45" s="82"/>
      <x:c r="C45" s="83"/>
      <x:c r="D45" s="30"/>
      <x:c r="E45" s="30"/>
      <x:c r="F45" s="84"/>
      <x:c r="G45" s="54"/>
      <x:c r="H45" s="54"/>
      <x:c r="I45" s="54"/>
      <x:c r="J45" s="85"/>
      <x:c r="K45" s="36"/>
      <x:c r="L45" s="36"/>
      <x:c r="M45" s="36"/>
      <x:c r="N45" s="36"/>
      <x:c r="O45" s="36"/>
      <x:c r="P45" s="36"/>
      <x:c r="Q45" s="36"/>
      <x:c r="R45" s="36"/>
      <x:c r="S45" s="36"/>
      <x:c r="T45" s="36"/>
      <x:c r="U45" s="36"/>
      <x:c r="V45" s="36"/>
      <x:c r="W45" s="36"/>
      <x:c r="X45" s="36"/>
      <x:c r="Y45" s="36"/>
    </x:row>
    <x:row r="46" spans="1:25">
      <x:c r="B46" s="79" t="s">
        <x:v>916</x:v>
      </x:c>
      <x:c r="C46" s="34"/>
      <x:c r="D46" s="80" t="s">
        <x:v>6</x:v>
      </x:c>
      <x:c r="E46" s="29"/>
      <x:c r="F46" s="81" t="s">
        <x:v>940</x:v>
      </x:c>
      <x:c r="G46" s="81"/>
      <x:c r="H46" s="81"/>
      <x:c r="I46" s="81"/>
      <x:c r="J46" s="78"/>
      <x:c r="K46" s="36"/>
      <x:c r="L46" s="36"/>
      <x:c r="M46" s="36"/>
      <x:c r="N46" s="36"/>
      <x:c r="O46" s="36"/>
      <x:c r="P46" s="36"/>
      <x:c r="Q46" s="36"/>
      <x:c r="R46" s="36"/>
      <x:c r="S46" s="36"/>
      <x:c r="T46" s="36"/>
      <x:c r="U46" s="36"/>
      <x:c r="V46" s="36"/>
      <x:c r="W46" s="36"/>
      <x:c r="X46" s="36"/>
      <x:c r="Y46" s="36"/>
    </x:row>
    <x:row r="47" spans="1:25" ht="3.75" customHeight="1">
      <x:c r="B47" s="82"/>
      <x:c r="C47" s="83"/>
      <x:c r="D47" s="30"/>
      <x:c r="E47" s="30"/>
      <x:c r="F47" s="84"/>
      <x:c r="G47" s="54"/>
      <x:c r="H47" s="54"/>
      <x:c r="I47" s="54"/>
      <x:c r="J47" s="85"/>
      <x:c r="K47" s="36"/>
      <x:c r="L47" s="36"/>
      <x:c r="M47" s="36"/>
      <x:c r="N47" s="36"/>
      <x:c r="O47" s="36"/>
      <x:c r="P47" s="36"/>
      <x:c r="Q47" s="36"/>
      <x:c r="R47" s="36"/>
      <x:c r="S47" s="36"/>
      <x:c r="T47" s="36"/>
      <x:c r="U47" s="36"/>
      <x:c r="V47" s="36"/>
      <x:c r="W47" s="36"/>
      <x:c r="X47" s="36"/>
      <x:c r="Y47" s="36"/>
    </x:row>
    <x:row r="48" spans="1:25">
      <x:c r="B48" s="79" t="s">
        <x:v>916</x:v>
      </x:c>
      <x:c r="C48" s="34"/>
      <x:c r="D48" s="80" t="s">
        <x:v>6</x:v>
      </x:c>
      <x:c r="E48" s="29"/>
      <x:c r="F48" s="81" t="s">
        <x:v>941</x:v>
      </x:c>
      <x:c r="G48" s="81"/>
      <x:c r="H48" s="81"/>
      <x:c r="I48" s="81"/>
      <x:c r="J48" s="78"/>
      <x:c r="K48" s="36"/>
      <x:c r="L48" s="36"/>
      <x:c r="M48" s="36"/>
      <x:c r="N48" s="36"/>
      <x:c r="O48" s="36"/>
      <x:c r="P48" s="36"/>
      <x:c r="Q48" s="36"/>
      <x:c r="R48" s="36"/>
      <x:c r="S48" s="36"/>
      <x:c r="T48" s="36"/>
      <x:c r="U48" s="36"/>
      <x:c r="V48" s="36"/>
      <x:c r="W48" s="36"/>
      <x:c r="X48" s="36"/>
      <x:c r="Y48" s="36"/>
    </x:row>
    <x:row r="49" spans="1:25" ht="3.75" customHeight="1">
      <x:c r="B49" s="82"/>
      <x:c r="C49" s="83"/>
      <x:c r="D49" s="30"/>
      <x:c r="E49" s="30"/>
      <x:c r="F49" s="84"/>
      <x:c r="G49" s="54"/>
      <x:c r="H49" s="54"/>
      <x:c r="I49" s="93"/>
      <x:c r="J49" s="85"/>
      <x:c r="K49" s="36"/>
      <x:c r="L49" s="36"/>
      <x:c r="M49" s="36"/>
      <x:c r="N49" s="36"/>
      <x:c r="O49" s="36"/>
      <x:c r="P49" s="36"/>
      <x:c r="Q49" s="36"/>
      <x:c r="R49" s="36"/>
      <x:c r="S49" s="36"/>
      <x:c r="T49" s="36"/>
      <x:c r="U49" s="36"/>
      <x:c r="V49" s="36"/>
      <x:c r="W49" s="36"/>
      <x:c r="X49" s="36"/>
      <x:c r="Y49" s="36"/>
    </x:row>
    <x:row r="50" spans="1:25">
      <x:c r="B50" s="79" t="s">
        <x:v>916</x:v>
      </x:c>
      <x:c r="C50" s="34"/>
      <x:c r="D50" s="80" t="s">
        <x:v>6</x:v>
      </x:c>
      <x:c r="E50" s="29"/>
      <x:c r="F50" s="81" t="s">
        <x:v>942</x:v>
      </x:c>
      <x:c r="G50" s="81"/>
      <x:c r="H50" s="81"/>
      <x:c r="I50" s="81"/>
      <x:c r="J50" s="78"/>
      <x:c r="K50" s="36"/>
      <x:c r="L50" s="36"/>
      <x:c r="M50" s="36"/>
      <x:c r="N50" s="36"/>
      <x:c r="O50" s="36"/>
      <x:c r="P50" s="36"/>
      <x:c r="Q50" s="36"/>
      <x:c r="R50" s="36"/>
      <x:c r="S50" s="36"/>
      <x:c r="T50" s="36"/>
      <x:c r="U50" s="36"/>
      <x:c r="V50" s="36"/>
      <x:c r="W50" s="36"/>
      <x:c r="X50" s="36"/>
      <x:c r="Y50" s="36"/>
    </x:row>
    <x:row r="51" spans="1:25" ht="3.75" customHeight="1">
      <x:c r="B51" s="94"/>
      <x:c r="C51" s="95"/>
      <x:c r="D51" s="96"/>
      <x:c r="E51" s="96"/>
      <x:c r="F51" s="97"/>
      <x:c r="G51" s="98"/>
      <x:c r="H51" s="98"/>
      <x:c r="I51" s="98"/>
      <x:c r="J51" s="99"/>
      <x:c r="K51" s="36"/>
      <x:c r="L51" s="36"/>
      <x:c r="M51" s="36"/>
      <x:c r="N51" s="36"/>
      <x:c r="O51" s="36"/>
      <x:c r="P51" s="36"/>
      <x:c r="Q51" s="36"/>
      <x:c r="R51" s="36"/>
      <x:c r="S51" s="36"/>
      <x:c r="T51" s="36"/>
      <x:c r="U51" s="36"/>
      <x:c r="V51" s="36"/>
      <x:c r="W51" s="36"/>
      <x:c r="X51" s="36"/>
      <x:c r="Y51" s="36"/>
    </x:row>
  </x:sheetData>
  <x:mergeCells count="39">
    <x:mergeCell ref="B1:J1"/>
    <x:mergeCell ref="B3:E3"/>
    <x:mergeCell ref="F3:I3"/>
    <x:mergeCell ref="B4:E4"/>
    <x:mergeCell ref="F4:I4"/>
    <x:mergeCell ref="B5:E5"/>
    <x:mergeCell ref="F5:I5"/>
    <x:mergeCell ref="B6:E6"/>
    <x:mergeCell ref="F6:I6"/>
    <x:mergeCell ref="F7:I7"/>
    <x:mergeCell ref="F9:I9"/>
    <x:mergeCell ref="F11:I11"/>
    <x:mergeCell ref="F13:I13"/>
    <x:mergeCell ref="F15:I15"/>
    <x:mergeCell ref="F17:I17"/>
    <x:mergeCell ref="F19:I19"/>
    <x:mergeCell ref="F21:I21"/>
    <x:mergeCell ref="F23:I23"/>
    <x:mergeCell ref="F25:I25"/>
    <x:mergeCell ref="B27:E27"/>
    <x:mergeCell ref="F27:I27"/>
    <x:mergeCell ref="B28:E28"/>
    <x:mergeCell ref="F28:I28"/>
    <x:mergeCell ref="B29:E29"/>
    <x:mergeCell ref="F29:I29"/>
    <x:mergeCell ref="B30:E30"/>
    <x:mergeCell ref="F30:I30"/>
    <x:mergeCell ref="B31:E31"/>
    <x:mergeCell ref="F31:I31"/>
    <x:mergeCell ref="F32:I32"/>
    <x:mergeCell ref="F34:I34"/>
    <x:mergeCell ref="F36:I36"/>
    <x:mergeCell ref="F38:I38"/>
    <x:mergeCell ref="F40:I40"/>
    <x:mergeCell ref="F42:I42"/>
    <x:mergeCell ref="F44:I44"/>
    <x:mergeCell ref="F46:I46"/>
    <x:mergeCell ref="F48:I48"/>
    <x:mergeCell ref="F50:I50"/>
  </x:mergeCells>
  <x:conditionalFormatting sqref="J5:J51">
    <x:cfRule type="expression" dxfId="0" priority="1" operator="equal">
      <x:formula>$Y$1="1"</x:formula>
    </x:cfRule>
  </x:conditionalFormatting>
  <x:printOptions horizontalCentered="0" verticalCentered="0" headings="0" gridLines="0"/>
  <x:pageMargins left="0.7" right="0.7" top="0.75" bottom="0.75" header="0.511811023622047" footer="0.511811023622047"/>
  <x:pageSetup paperSize="9" fitToHeight="0" pageOrder="downThenOver" orientation="portrait" blackAndWhite="0" draft="0" cellComments="none" errors="displayed"/>
  <x:headerFooter differentOddEven="0" differentFirst="1" scaleWithDoc="1" alignWithMargins="1">
    <x:oddHeader/>
    <x:oddFooter>&amp;R&amp;P</x:oddFooter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AG15"/>
  <x:sheetViews>
    <x:sheetView workbookViewId="0"/>
  </x:sheetViews>
  <x:sheetFormatPr defaultRowHeight="15"/>
  <x:cols>
    <x:col min="1" max="1" width="8.710938" style="0" customWidth="1"/>
    <x:col min="2" max="2" width="23.855469" style="0" customWidth="1"/>
    <x:col min="3" max="3" width="26.425781" style="0" customWidth="1"/>
    <x:col min="4" max="4" width="27.710938" style="0" customWidth="1"/>
    <x:col min="5" max="5" width="26.570312" style="0" customWidth="1"/>
    <x:col min="6" max="33" width="8.567768" style="0" customWidth="1"/>
  </x:cols>
  <x:sheetData>
    <x:row r="1" spans="1:33" ht="81" customHeight="1">
      <x:c r="B1" s="100" t="s">
        <x:v>943</x:v>
      </x:c>
      <x:c r="C1" s="100"/>
      <x:c r="D1" s="100"/>
      <x:c r="E1" s="100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101"/>
      <x:c r="X1" s="101"/>
      <x:c r="Y1" s="101"/>
      <x:c r="Z1" s="101"/>
      <x:c r="AA1" s="37" t="e">
        <x:f>SUM(INDIRECT("E5:"&amp;ADDRESS(MATCH("Итого за I квартал", $B:$B, 0) - 1, 5)))</x:f>
        <x:v>#NAME?</x:v>
      </x:c>
      <x:c r="AB1" s="37" t="e">
        <x:f>SUM(INDIRECT(ADDRESS(MATCH("Итого за I квартал", $B:$B, 0) + 1, 5)&amp;":"&amp;ADDRESS(MATCH("Итого за II квартал", $B:$B, 0) - 1, 5)))</x:f>
        <x:v>#NAME?</x:v>
      </x:c>
      <x:c r="AC1" s="37" t="e">
        <x:f>$AA$1+$AB$1</x:f>
        <x:v>#NAME?</x:v>
      </x:c>
      <x:c r="AD1" s="37" t="e">
        <x:f>SUM(INDIRECT(ADDRESS(MATCH("Итого за II квартал", $B:$B, 0) + 2, 5)&amp;":"&amp;ADDRESS(MATCH("Итого за III квартал", $B:$B, 0) - 1, 5)))</x:f>
        <x:v>#NAME?</x:v>
      </x:c>
      <x:c r="AE1" s="37" t="e">
        <x:f>$AD$1+$AC$1</x:f>
        <x:v>#NAME?</x:v>
      </x:c>
      <x:c r="AF1" s="37" t="e">
        <x:f>SUM(INDIRECT(ADDRESS(MATCH("Итого за III квартал", $B:$B, 0) + 2, 5)&amp;":"&amp;ADDRESS(MATCH("Итого за IV квартал", $B:$B, 0) - 1, 5)))</x:f>
        <x:v>#NAME?</x:v>
      </x:c>
      <x:c r="AG1" s="37" t="e">
        <x:f>$AF$1+$AE$1</x:f>
        <x:v>#NAME?</x:v>
      </x:c>
    </x:row>
    <x:row r="2" spans="1:33">
      <x:c r="B2" s="5"/>
      <x:c r="C2" s="5"/>
      <x:c r="D2" s="5"/>
      <x:c r="E2" s="5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  <x:c r="V2" s="36"/>
      <x:c r="W2" s="101"/>
      <x:c r="X2" s="101"/>
      <x:c r="Y2" s="101"/>
      <x:c r="Z2" s="101"/>
      <x:c r="AA2" s="101"/>
      <x:c r="AB2" s="101"/>
      <x:c r="AC2" s="101"/>
      <x:c r="AD2" s="101"/>
      <x:c r="AE2" s="101"/>
      <x:c r="AF2" s="101"/>
      <x:c r="AG2" s="101"/>
    </x:row>
    <x:row r="3" spans="1:33" ht="70.5" customHeight="1">
      <x:c r="B3" s="41" t="s">
        <x:v>891</x:v>
      </x:c>
      <x:c r="C3" s="41" t="s">
        <x:v>944</x:v>
      </x:c>
      <x:c r="D3" s="41" t="s">
        <x:v>945</x:v>
      </x:c>
      <x:c r="E3" s="43" t="s">
        <x:v>946</x:v>
      </x:c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101"/>
      <x:c r="X3" s="101"/>
      <x:c r="Y3" s="101"/>
      <x:c r="Z3" s="101"/>
      <x:c r="AA3" s="101"/>
      <x:c r="AB3" s="101"/>
      <x:c r="AC3" s="101"/>
      <x:c r="AD3" s="101"/>
      <x:c r="AE3" s="101"/>
      <x:c r="AF3" s="101"/>
      <x:c r="AG3" s="101"/>
    </x:row>
    <x:row r="4" spans="1:33">
      <x:c r="B4" s="26">
        <x:v>1</x:v>
      </x:c>
      <x:c r="C4" s="41">
        <x:v>2</x:v>
      </x:c>
      <x:c r="D4" s="26">
        <x:v>3</x:v>
      </x:c>
      <x:c r="E4" s="43">
        <x:v>4</x:v>
      </x:c>
      <x:c r="F4" s="36"/>
      <x:c r="G4" s="36"/>
      <x:c r="H4" s="36"/>
      <x:c r="I4" s="36"/>
      <x:c r="J4" s="36"/>
      <x:c r="K4" s="36"/>
      <x:c r="L4" s="36"/>
      <x:c r="M4" s="36"/>
      <x:c r="N4" s="36"/>
      <x:c r="O4" s="36"/>
      <x:c r="P4" s="36"/>
      <x:c r="Q4" s="36"/>
      <x:c r="R4" s="36"/>
      <x:c r="S4" s="36"/>
      <x:c r="T4" s="36"/>
      <x:c r="U4" s="36"/>
      <x:c r="V4" s="36"/>
      <x:c r="W4" s="36"/>
      <x:c r="X4" s="36"/>
      <x:c r="Y4" s="36"/>
      <x:c r="Z4" s="36"/>
      <x:c r="AA4" s="36"/>
      <x:c r="AB4" s="36"/>
      <x:c r="AC4" s="36"/>
      <x:c r="AD4" s="36"/>
      <x:c r="AE4" s="36"/>
      <x:c r="AF4" s="36"/>
      <x:c r="AG4" s="36"/>
    </x:row>
    <x:row r="5" spans="1:33">
      <x:c r="B5" s="17"/>
      <x:c r="C5" s="102"/>
      <x:c r="D5" s="103"/>
      <x:c r="E5" s="104"/>
    </x:row>
    <x:row r="6" spans="1:33">
      <x:c r="B6" s="105" t="s">
        <x:v>237</x:v>
      </x:c>
      <x:c r="C6" s="105"/>
      <x:c r="D6" s="105"/>
      <x:c r="E6" s="46" t="e">
        <x:f>$AA$1</x:f>
        <x:v>#NAME?</x:v>
      </x:c>
    </x:row>
    <x:row r="7" spans="1:33">
      <x:c r="B7" s="17"/>
      <x:c r="C7" s="102"/>
      <x:c r="D7" s="103"/>
      <x:c r="E7" s="104"/>
    </x:row>
    <x:row r="8" spans="1:33">
      <x:c r="B8" s="105" t="s">
        <x:v>405</x:v>
      </x:c>
      <x:c r="C8" s="105"/>
      <x:c r="D8" s="105"/>
      <x:c r="E8" s="104" t="e">
        <x:f>$AB$1</x:f>
        <x:v>#NAME?</x:v>
      </x:c>
    </x:row>
    <x:row r="9" spans="1:33">
      <x:c r="B9" s="105" t="s">
        <x:v>406</x:v>
      </x:c>
      <x:c r="C9" s="105"/>
      <x:c r="D9" s="105"/>
      <x:c r="E9" s="104" t="e">
        <x:f>$AC$1</x:f>
        <x:v>#NAME?</x:v>
      </x:c>
    </x:row>
    <x:row r="10" spans="1:33">
      <x:c r="B10" s="17"/>
      <x:c r="C10" s="102"/>
      <x:c r="D10" s="103"/>
      <x:c r="E10" s="104"/>
    </x:row>
    <x:row r="11" spans="1:33">
      <x:c r="B11" s="105" t="s">
        <x:v>819</x:v>
      </x:c>
      <x:c r="C11" s="105"/>
      <x:c r="D11" s="105"/>
      <x:c r="E11" s="104" t="e">
        <x:f>$AD$1</x:f>
        <x:v>#NAME?</x:v>
      </x:c>
    </x:row>
    <x:row r="12" spans="1:33">
      <x:c r="B12" s="105" t="s">
        <x:v>820</x:v>
      </x:c>
      <x:c r="C12" s="105"/>
      <x:c r="D12" s="105"/>
      <x:c r="E12" s="104" t="e">
        <x:f>$AE$1</x:f>
        <x:v>#NAME?</x:v>
      </x:c>
    </x:row>
    <x:row r="13" spans="1:33">
      <x:c r="B13" s="17"/>
      <x:c r="C13" s="102"/>
      <x:c r="D13" s="103"/>
      <x:c r="E13" s="104"/>
    </x:row>
    <x:row r="14" spans="1:33">
      <x:c r="B14" s="105" t="s">
        <x:v>872</x:v>
      </x:c>
      <x:c r="C14" s="105"/>
      <x:c r="D14" s="105"/>
      <x:c r="E14" s="104" t="e">
        <x:f>$AF$1</x:f>
        <x:v>#NAME?</x:v>
      </x:c>
    </x:row>
    <x:row r="15" spans="1:33">
      <x:c r="B15" s="105" t="s">
        <x:v>947</x:v>
      </x:c>
      <x:c r="C15" s="105"/>
      <x:c r="D15" s="105"/>
      <x:c r="E15" s="46" t="e">
        <x:f>$AG$1</x:f>
        <x:v>#NAME?</x:v>
      </x:c>
    </x:row>
  </x:sheetData>
  <x:mergeCells count="8">
    <x:mergeCell ref="B1:E1"/>
    <x:mergeCell ref="B6:D6"/>
    <x:mergeCell ref="B8:D8"/>
    <x:mergeCell ref="B9:D9"/>
    <x:mergeCell ref="B11:D11"/>
    <x:mergeCell ref="B12:D12"/>
    <x:mergeCell ref="B14:D14"/>
    <x:mergeCell ref="B15:D15"/>
  </x:mergeCells>
  <x:conditionalFormatting sqref="E6:E6 E8:E9 E11:E12 E14:E15">
    <x:cfRule type="cellIs" dxfId="0" priority="1" operator="equal">
      <x:formula>0</x:formula>
    </x:cfRule>
  </x:conditionalFormatting>
  <x:printOptions horizontalCentered="0" verticalCentered="0" headings="0" gridLines="0"/>
  <x:pageMargins left="0.7" right="0.7" top="0.75" bottom="0.75" header="0.511811023622047" footer="0.511811023622047"/>
  <x:pageSetup paperSize="9" fitToHeight="0" pageOrder="downThenOver" orientation="portrait" blackAndWhite="0" draft="0" cellComments="none" errors="displayed"/>
  <x:headerFooter differentOddEven="0" differentFirst="1" scaleWithDoc="1" alignWithMargins="1">
    <x:oddHeader/>
    <x:oddFooter>&amp;R&amp;P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4">
      <vt:lpstr>Титульный лист</vt:lpstr>
      <vt:lpstr>Доходы и расходы за 1 квартал</vt:lpstr>
      <vt:lpstr>Доходы и расходы за 2 квартал</vt:lpstr>
      <vt:lpstr>Доходы и расходы за 3 квартал</vt:lpstr>
      <vt:lpstr>Доходы и расходы за 4 квартал</vt:lpstr>
      <vt:lpstr>Расчет расходов на приобретение</vt:lpstr>
      <vt:lpstr>Расчет суммы убытка</vt:lpstr>
      <vt:lpstr>Сумма торгового сбора</vt:lpstr>
      <vt:lpstr>Титульный лист!Print_Area</vt:lpstr>
      <vt:lpstr>Титульный лист!Print_Titles</vt:lpstr>
      <vt:lpstr>Доходы и расходы за 1 квартал!Print_Area</vt:lpstr>
      <vt:lpstr>Доходы и расходы за 1 квартал!Print_Titles</vt:lpstr>
      <vt:lpstr>Доходы и расходы за 2 квартал!Print_Area</vt:lpstr>
      <vt:lpstr>Доходы и расходы за 2 квартал!Print_Titles</vt:lpstr>
      <vt:lpstr>Доходы и расходы за 3 квартал!Print_Area</vt:lpstr>
      <vt:lpstr>Доходы и расходы за 3 квартал!Print_Titles</vt:lpstr>
      <vt:lpstr>Доходы и расходы за 4 квартал!Print_Area</vt:lpstr>
      <vt:lpstr>Доходы и расходы за 4 квартал!Print_Titles</vt:lpstr>
      <vt:lpstr>Расчет расходов на приобретение!Print_Area</vt:lpstr>
      <vt:lpstr>Расчет расходов на приобретение!Print_Titles</vt:lpstr>
      <vt:lpstr>Расчет суммы убытка!Print_Area</vt:lpstr>
      <vt:lpstr>Расчет суммы убытка!Print_Titles</vt:lpstr>
      <vt:lpstr>Сумма торгового сбора!Print_Area</vt:lpstr>
      <vt:lpstr>Сумма торгового сбора!Print_Titles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DocSecurity>0</ap:DocSecurity>
  <ap:ScaleCrop>false</ap:ScaleCrop>
</ap:Properties>
</file>